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0" documentId="8_{4D995998-8B3E-4698-814E-D6B9348C262A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Sheet1" sheetId="5" r:id="rId1"/>
    <sheet name="retail_sales_dataset" sheetId="1" r:id="rId2"/>
    <sheet name="Transactions" sheetId="2" r:id="rId3"/>
    <sheet name="Day 2 Task 2" sheetId="3" r:id="rId4"/>
  </sheets>
  <definedNames>
    <definedName name="_xlnm._FilterDatabase" localSheetId="1" hidden="1">retail_sales_dataset!$A$1:$Q$1001</definedName>
    <definedName name="_xlnm._FilterDatabase" localSheetId="3" hidden="1">'Day 2 Task 2'!$A$1:$F$11</definedName>
    <definedName name="_xlcn.WorksheetConnection_retail_sales_dataset.xlsxTable11" hidden="1">retail_sales_dataset!$A$1:$N$1001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192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1" l="1"/>
  <c r="S22" i="1"/>
  <c r="F3" i="3"/>
  <c r="F4" i="3"/>
  <c r="F5" i="3"/>
  <c r="F6" i="3"/>
  <c r="F7" i="3"/>
  <c r="F8" i="3"/>
  <c r="F9" i="3"/>
  <c r="F10" i="3"/>
  <c r="F11" i="3"/>
  <c r="F2" i="3"/>
  <c r="E3" i="3"/>
  <c r="E4" i="3"/>
  <c r="E5" i="3"/>
  <c r="E6" i="3"/>
  <c r="E7" i="3"/>
  <c r="E8" i="3"/>
  <c r="E9" i="3"/>
  <c r="E10" i="3"/>
  <c r="E11" i="3"/>
  <c r="E2" i="3"/>
  <c r="C3" i="2" a="1"/>
  <c r="C3" i="2"/>
  <c r="C4" i="2" a="1"/>
  <c r="C4" i="2"/>
  <c r="C5" i="2" a="1"/>
  <c r="C5" i="2"/>
  <c r="C6" i="2" a="1"/>
  <c r="C6" i="2"/>
  <c r="C7" i="2" a="1"/>
  <c r="C7" i="2"/>
  <c r="C8" i="2" a="1"/>
  <c r="C8" i="2"/>
  <c r="C9" i="2" a="1"/>
  <c r="C9" i="2"/>
  <c r="C10" i="2" a="1"/>
  <c r="C10" i="2"/>
  <c r="C2" i="2" a="1"/>
  <c r="C2" i="2"/>
  <c r="J111" i="1" a="1"/>
  <c r="J111" i="1"/>
  <c r="J847" i="1" a="1"/>
  <c r="J847" i="1"/>
  <c r="J973" i="1" a="1"/>
  <c r="J973" i="1"/>
  <c r="J609" i="1" a="1"/>
  <c r="J609" i="1"/>
  <c r="J662" i="1" a="1"/>
  <c r="J662" i="1"/>
  <c r="J698" i="1" a="1"/>
  <c r="J698" i="1"/>
  <c r="J810" i="1" a="1"/>
  <c r="J810" i="1"/>
  <c r="J862" i="1" a="1"/>
  <c r="J862" i="1"/>
  <c r="J52" i="1" a="1"/>
  <c r="J52" i="1"/>
  <c r="J244" i="1" a="1"/>
  <c r="J244" i="1"/>
  <c r="J881" i="1" a="1"/>
  <c r="J881" i="1"/>
  <c r="J176" i="1" a="1"/>
  <c r="J176" i="1"/>
  <c r="J415" i="1" a="1"/>
  <c r="J415" i="1"/>
  <c r="J959" i="1" a="1"/>
  <c r="J959" i="1"/>
  <c r="J963" i="1" a="1"/>
  <c r="J963" i="1"/>
  <c r="J878" i="1" a="1"/>
  <c r="J878" i="1"/>
  <c r="J711" i="1" a="1"/>
  <c r="J711" i="1"/>
  <c r="J683" i="1" a="1"/>
  <c r="J683" i="1"/>
  <c r="J299" i="1" a="1"/>
  <c r="J299" i="1"/>
  <c r="J160" i="1" a="1"/>
  <c r="J160" i="1"/>
  <c r="J968" i="1" a="1"/>
  <c r="J968" i="1"/>
  <c r="J218" i="1" a="1"/>
  <c r="J218" i="1"/>
  <c r="J740" i="1" a="1"/>
  <c r="J740" i="1"/>
  <c r="J99" i="1" a="1"/>
  <c r="J99" i="1"/>
  <c r="J14" i="1" a="1"/>
  <c r="J14" i="1"/>
  <c r="J246" i="1" a="1"/>
  <c r="J246" i="1"/>
  <c r="J423" i="1" a="1"/>
  <c r="J423" i="1"/>
  <c r="J706" i="1" a="1"/>
  <c r="J706" i="1"/>
  <c r="J376" i="1" a="1"/>
  <c r="J376" i="1"/>
  <c r="J180" i="1" a="1"/>
  <c r="J180" i="1"/>
  <c r="J597" i="1" a="1"/>
  <c r="J597" i="1"/>
  <c r="J992" i="1" a="1"/>
  <c r="J992" i="1"/>
  <c r="J783" i="1" a="1"/>
  <c r="J783" i="1"/>
  <c r="J21" i="1" a="1"/>
  <c r="J21" i="1"/>
  <c r="J411" i="1" a="1"/>
  <c r="J411" i="1"/>
  <c r="J512" i="1" a="1"/>
  <c r="J512" i="1"/>
  <c r="J602" i="1" a="1"/>
  <c r="J602" i="1"/>
  <c r="J794" i="1" a="1"/>
  <c r="J794" i="1"/>
  <c r="J713" i="1" a="1"/>
  <c r="J713" i="1"/>
  <c r="J520" i="1" a="1"/>
  <c r="J520" i="1"/>
  <c r="J861" i="1" a="1"/>
  <c r="J861" i="1"/>
  <c r="J876" i="1" a="1"/>
  <c r="J876" i="1"/>
  <c r="J471" i="1" a="1"/>
  <c r="J471" i="1"/>
  <c r="J870" i="1" a="1"/>
  <c r="J870" i="1"/>
  <c r="J494" i="1" a="1"/>
  <c r="J494" i="1"/>
  <c r="J509" i="1" a="1"/>
  <c r="J509" i="1"/>
  <c r="J157" i="1" a="1"/>
  <c r="J157" i="1"/>
  <c r="J626" i="1" a="1"/>
  <c r="J626" i="1"/>
  <c r="J948" i="1" a="1"/>
  <c r="J948" i="1"/>
  <c r="J358" i="1" a="1"/>
  <c r="J358" i="1"/>
  <c r="J264" i="1" a="1"/>
  <c r="J264" i="1"/>
  <c r="J830" i="1" a="1"/>
  <c r="J830" i="1"/>
  <c r="J476" i="1" a="1"/>
  <c r="J476" i="1"/>
  <c r="J893" i="1" a="1"/>
  <c r="J893" i="1"/>
  <c r="J237" i="1" a="1"/>
  <c r="J237" i="1"/>
  <c r="J578" i="1" a="1"/>
  <c r="J578" i="1"/>
  <c r="J125" i="1" a="1"/>
  <c r="J125" i="1"/>
  <c r="J141" i="1" a="1"/>
  <c r="J141" i="1"/>
  <c r="J489" i="1" a="1"/>
  <c r="J489" i="1"/>
  <c r="J197" i="1" a="1"/>
  <c r="J197" i="1"/>
  <c r="J748" i="1" a="1"/>
  <c r="J748" i="1"/>
  <c r="J13" i="1" a="1"/>
  <c r="J13" i="1"/>
  <c r="J908" i="1" a="1"/>
  <c r="J908" i="1"/>
  <c r="J946" i="1" a="1"/>
  <c r="J946" i="1"/>
  <c r="J80" i="1" a="1"/>
  <c r="J80" i="1"/>
  <c r="J692" i="1" a="1"/>
  <c r="J692" i="1"/>
  <c r="J582" i="1" a="1"/>
  <c r="J582" i="1"/>
  <c r="J894" i="1" a="1"/>
  <c r="J894" i="1"/>
  <c r="J682" i="1" a="1"/>
  <c r="J682" i="1"/>
  <c r="J864" i="1" a="1"/>
  <c r="J864" i="1"/>
  <c r="J469" i="1" a="1"/>
  <c r="J469" i="1"/>
  <c r="J601" i="1" a="1"/>
  <c r="J601" i="1"/>
  <c r="J368" i="1" a="1"/>
  <c r="J368" i="1"/>
  <c r="J118" i="1" a="1"/>
  <c r="J118" i="1"/>
  <c r="J486" i="1" a="1"/>
  <c r="J486" i="1"/>
  <c r="J779" i="1" a="1"/>
  <c r="J779" i="1"/>
  <c r="J481" i="1" a="1"/>
  <c r="J481" i="1"/>
  <c r="J496" i="1" a="1"/>
  <c r="J496" i="1"/>
  <c r="J727" i="1" a="1"/>
  <c r="J727" i="1"/>
  <c r="J59" i="1" a="1"/>
  <c r="J59" i="1"/>
  <c r="J619" i="1" a="1"/>
  <c r="J619" i="1"/>
  <c r="J18" i="1" a="1"/>
  <c r="J18" i="1"/>
  <c r="J46" i="1" a="1"/>
  <c r="J46" i="1"/>
  <c r="J102" i="1" a="1"/>
  <c r="J102" i="1"/>
  <c r="J906" i="1" a="1"/>
  <c r="J906" i="1"/>
  <c r="J150" i="1" a="1"/>
  <c r="J150" i="1"/>
  <c r="J117" i="1" a="1"/>
  <c r="J117" i="1"/>
  <c r="J770" i="1" a="1"/>
  <c r="J770" i="1"/>
  <c r="J266" i="1" a="1"/>
  <c r="J266" i="1"/>
  <c r="J659" i="1" a="1"/>
  <c r="J659" i="1"/>
  <c r="J777" i="1" a="1"/>
  <c r="J777" i="1"/>
  <c r="J355" i="1" a="1"/>
  <c r="J355" i="1"/>
  <c r="J474" i="1" a="1"/>
  <c r="J474" i="1"/>
  <c r="J614" i="1" a="1"/>
  <c r="J614" i="1"/>
  <c r="J112" i="1" a="1"/>
  <c r="J112" i="1"/>
  <c r="J38" i="1" a="1"/>
  <c r="J38" i="1"/>
  <c r="J221" i="1" a="1"/>
  <c r="J221" i="1"/>
  <c r="J702" i="1" a="1"/>
  <c r="J702" i="1"/>
  <c r="J44" i="1" a="1"/>
  <c r="J44" i="1"/>
  <c r="J536" i="1" a="1"/>
  <c r="J536" i="1"/>
  <c r="J933" i="1" a="1"/>
  <c r="J933" i="1"/>
  <c r="J690" i="1" a="1"/>
  <c r="J690" i="1"/>
  <c r="J960" i="1" a="1"/>
  <c r="J960" i="1"/>
  <c r="J544" i="1" a="1"/>
  <c r="J544" i="1"/>
  <c r="J446" i="1" a="1"/>
  <c r="J446" i="1"/>
  <c r="J616" i="1" a="1"/>
  <c r="J616" i="1"/>
  <c r="J919" i="1" a="1"/>
  <c r="J919" i="1"/>
  <c r="J723" i="1" a="1"/>
  <c r="J723" i="1"/>
  <c r="J209" i="1" a="1"/>
  <c r="J209" i="1"/>
  <c r="J546" i="1" a="1"/>
  <c r="J546" i="1"/>
  <c r="J722" i="1" a="1"/>
  <c r="J722" i="1"/>
  <c r="J92" i="1" a="1"/>
  <c r="J92" i="1"/>
  <c r="J304" i="1" a="1"/>
  <c r="J304" i="1"/>
  <c r="J454" i="1" a="1"/>
  <c r="J454" i="1"/>
  <c r="J106" i="1" a="1"/>
  <c r="J106" i="1"/>
  <c r="J360" i="1" a="1"/>
  <c r="J360" i="1"/>
  <c r="J808" i="1" a="1"/>
  <c r="J808" i="1"/>
  <c r="J630" i="1" a="1"/>
  <c r="J630" i="1"/>
  <c r="J809" i="1" a="1"/>
  <c r="J809" i="1"/>
  <c r="J653" i="1" a="1"/>
  <c r="J653" i="1"/>
  <c r="J217" i="1" a="1"/>
  <c r="J217" i="1"/>
  <c r="J256" i="1" a="1"/>
  <c r="J256" i="1"/>
  <c r="J634" i="1" a="1"/>
  <c r="J634" i="1"/>
  <c r="J184" i="1" a="1"/>
  <c r="J184" i="1"/>
  <c r="J404" i="1" a="1"/>
  <c r="J404" i="1"/>
  <c r="J188" i="1" a="1"/>
  <c r="J188" i="1"/>
  <c r="J449" i="1" a="1"/>
  <c r="J449" i="1"/>
  <c r="J491" i="1" a="1"/>
  <c r="J491" i="1"/>
  <c r="J708" i="1" a="1"/>
  <c r="J708" i="1"/>
  <c r="J813" i="1" a="1"/>
  <c r="J813" i="1"/>
  <c r="J293" i="1" a="1"/>
  <c r="J293" i="1"/>
  <c r="J307" i="1" a="1"/>
  <c r="J307" i="1"/>
  <c r="J879" i="1" a="1"/>
  <c r="J879" i="1"/>
  <c r="J944" i="1" a="1"/>
  <c r="J944" i="1"/>
  <c r="J849" i="1" a="1"/>
  <c r="J849" i="1"/>
  <c r="J796" i="1" a="1"/>
  <c r="J796" i="1"/>
  <c r="J127" i="1" a="1"/>
  <c r="J127" i="1"/>
  <c r="J784" i="1" a="1"/>
  <c r="J784" i="1"/>
  <c r="J48" i="1" a="1"/>
  <c r="J48" i="1"/>
  <c r="J413" i="1" a="1"/>
  <c r="J413" i="1"/>
  <c r="J168" i="1" a="1"/>
  <c r="J168" i="1"/>
  <c r="J922" i="1" a="1"/>
  <c r="J922" i="1"/>
  <c r="J461" i="1" a="1"/>
  <c r="J461" i="1"/>
  <c r="J464" i="1" a="1"/>
  <c r="J464" i="1"/>
  <c r="J164" i="1" a="1"/>
  <c r="J164" i="1"/>
  <c r="J344" i="1" a="1"/>
  <c r="J344" i="1"/>
  <c r="J277" i="1" a="1"/>
  <c r="J277" i="1"/>
  <c r="J646" i="1" a="1"/>
  <c r="J646" i="1"/>
  <c r="J232" i="1" a="1"/>
  <c r="J232" i="1"/>
  <c r="J986" i="1" a="1"/>
  <c r="J986" i="1"/>
  <c r="J49" i="1" a="1"/>
  <c r="J49" i="1"/>
  <c r="J842" i="1" a="1"/>
  <c r="J842" i="1"/>
  <c r="J45" i="1" a="1"/>
  <c r="J45" i="1"/>
  <c r="J261" i="1" a="1"/>
  <c r="J261" i="1"/>
  <c r="J620" i="1" a="1"/>
  <c r="J620" i="1"/>
  <c r="J108" i="1" a="1"/>
  <c r="J108" i="1"/>
  <c r="J511" i="1" a="1"/>
  <c r="J511" i="1"/>
  <c r="J845" i="1" a="1"/>
  <c r="J845" i="1"/>
  <c r="J579" i="1" a="1"/>
  <c r="J579" i="1"/>
  <c r="J395" i="1" a="1"/>
  <c r="J395" i="1"/>
  <c r="J787" i="1" a="1"/>
  <c r="J787" i="1"/>
  <c r="J367" i="1" a="1"/>
  <c r="J367" i="1"/>
  <c r="J995" i="1" a="1"/>
  <c r="J995" i="1"/>
  <c r="J633" i="1" a="1"/>
  <c r="J633" i="1"/>
  <c r="J303" i="1" a="1"/>
  <c r="J303" i="1"/>
  <c r="J764" i="1" a="1"/>
  <c r="J764" i="1"/>
  <c r="J295" i="1" a="1"/>
  <c r="J295" i="1"/>
  <c r="J854" i="1" a="1"/>
  <c r="J854" i="1"/>
  <c r="J131" i="1" a="1"/>
  <c r="J131" i="1"/>
  <c r="J573" i="1" a="1"/>
  <c r="J573" i="1"/>
  <c r="J110" i="1" a="1"/>
  <c r="J110" i="1"/>
  <c r="J296" i="1" a="1"/>
  <c r="J296" i="1"/>
  <c r="J149" i="1" a="1"/>
  <c r="J149" i="1"/>
  <c r="J738" i="1" a="1"/>
  <c r="J738" i="1"/>
  <c r="J798" i="1" a="1"/>
  <c r="J798" i="1"/>
  <c r="J479" i="1" a="1"/>
  <c r="J479" i="1"/>
  <c r="J781" i="1" a="1"/>
  <c r="J781" i="1"/>
  <c r="J252" i="1" a="1"/>
  <c r="J252" i="1"/>
  <c r="J272" i="1" a="1"/>
  <c r="J272" i="1"/>
  <c r="J1000" i="1" a="1"/>
  <c r="J1000" i="1"/>
  <c r="J162" i="1" a="1"/>
  <c r="J162" i="1"/>
  <c r="J537" i="1" a="1"/>
  <c r="J537" i="1"/>
  <c r="J313" i="1" a="1"/>
  <c r="J313" i="1"/>
  <c r="J979" i="1" a="1"/>
  <c r="J979" i="1"/>
  <c r="J848" i="1" a="1"/>
  <c r="J848" i="1"/>
  <c r="J492" i="1" a="1"/>
  <c r="J492" i="1"/>
  <c r="J556" i="1" a="1"/>
  <c r="J556" i="1"/>
  <c r="J673" i="1" a="1"/>
  <c r="J673" i="1"/>
  <c r="J929" i="1" a="1"/>
  <c r="J929" i="1"/>
  <c r="J668" i="1" a="1"/>
  <c r="J668" i="1"/>
  <c r="J208" i="1" a="1"/>
  <c r="J208" i="1"/>
  <c r="J892" i="1" a="1"/>
  <c r="J892" i="1"/>
  <c r="J883" i="1" a="1"/>
  <c r="J883" i="1"/>
  <c r="J318" i="1" a="1"/>
  <c r="J318" i="1"/>
  <c r="J911" i="1" a="1"/>
  <c r="J911" i="1"/>
  <c r="J270" i="1" a="1"/>
  <c r="J270" i="1"/>
  <c r="J826" i="1" a="1"/>
  <c r="J826" i="1"/>
  <c r="J824" i="1" a="1"/>
  <c r="J824" i="1"/>
  <c r="J85" i="1" a="1"/>
  <c r="J85" i="1"/>
  <c r="J332" i="1" a="1"/>
  <c r="J332" i="1"/>
  <c r="J238" i="1" a="1"/>
  <c r="J238" i="1"/>
  <c r="J774" i="1" a="1"/>
  <c r="J774" i="1"/>
  <c r="J625" i="1" a="1"/>
  <c r="J625" i="1"/>
  <c r="J275" i="1" a="1"/>
  <c r="J275" i="1"/>
  <c r="J153" i="1" a="1"/>
  <c r="J153" i="1"/>
  <c r="J409" i="1" a="1"/>
  <c r="J409" i="1"/>
  <c r="J720" i="1" a="1"/>
  <c r="J720" i="1"/>
  <c r="J253" i="1" a="1"/>
  <c r="J253" i="1"/>
  <c r="J33" i="1" a="1"/>
  <c r="J33" i="1"/>
  <c r="J735" i="1" a="1"/>
  <c r="J735" i="1"/>
  <c r="J3" i="1" a="1"/>
  <c r="J3" i="1"/>
  <c r="J553" i="1" a="1"/>
  <c r="J553" i="1"/>
  <c r="J450" i="1" a="1"/>
  <c r="J450" i="1"/>
  <c r="J62" i="1" a="1"/>
  <c r="J62" i="1"/>
  <c r="J98" i="1" a="1"/>
  <c r="J98" i="1"/>
  <c r="J478" i="1" a="1"/>
  <c r="J478" i="1"/>
  <c r="J388" i="1" a="1"/>
  <c r="J388" i="1"/>
  <c r="J285" i="1" a="1"/>
  <c r="J285" i="1"/>
  <c r="J370" i="1" a="1"/>
  <c r="J370" i="1"/>
  <c r="J832" i="1" a="1"/>
  <c r="J832" i="1"/>
  <c r="J656" i="1" a="1"/>
  <c r="J656" i="1"/>
  <c r="J694" i="1" a="1"/>
  <c r="J694" i="1"/>
  <c r="J920" i="1" a="1"/>
  <c r="J920" i="1"/>
  <c r="J517" i="1" a="1"/>
  <c r="J517" i="1"/>
  <c r="J976" i="1" a="1"/>
  <c r="J976" i="1"/>
  <c r="J177" i="1" a="1"/>
  <c r="J177" i="1"/>
  <c r="J230" i="1" a="1"/>
  <c r="J230" i="1"/>
  <c r="J688" i="1" a="1"/>
  <c r="J688" i="1"/>
  <c r="J178" i="1" a="1"/>
  <c r="J178" i="1"/>
  <c r="J703" i="1" a="1"/>
  <c r="J703" i="1"/>
  <c r="J993" i="1" a="1"/>
  <c r="J993" i="1"/>
  <c r="J905" i="1" a="1"/>
  <c r="J905" i="1"/>
  <c r="J5" i="1" a="1"/>
  <c r="J5" i="1"/>
  <c r="J122" i="1" a="1"/>
  <c r="J122" i="1"/>
  <c r="J927" i="1" a="1"/>
  <c r="J927" i="1"/>
  <c r="J689" i="1" a="1"/>
  <c r="J689" i="1"/>
  <c r="J916" i="1" a="1"/>
  <c r="J916" i="1"/>
  <c r="J962" i="1" a="1"/>
  <c r="J962" i="1"/>
  <c r="J529" i="1" a="1"/>
  <c r="J529" i="1"/>
  <c r="J907" i="1" a="1"/>
  <c r="J907" i="1"/>
  <c r="J288" i="1" a="1"/>
  <c r="J288" i="1"/>
  <c r="J678" i="1" a="1"/>
  <c r="J678" i="1"/>
  <c r="J596" i="1" a="1"/>
  <c r="J596" i="1"/>
  <c r="J68" i="1" a="1"/>
  <c r="J68" i="1"/>
  <c r="J320" i="1" a="1"/>
  <c r="J320" i="1"/>
  <c r="J716" i="1" a="1"/>
  <c r="J716" i="1"/>
  <c r="J251" i="1" a="1"/>
  <c r="J251" i="1"/>
  <c r="J819" i="1" a="1"/>
  <c r="J819" i="1"/>
  <c r="J203" i="1" a="1"/>
  <c r="J203" i="1"/>
  <c r="J196" i="1" a="1"/>
  <c r="J196" i="1"/>
  <c r="J336" i="1" a="1"/>
  <c r="J336" i="1"/>
  <c r="J665" i="1" a="1"/>
  <c r="J665" i="1"/>
  <c r="J337" i="1" a="1"/>
  <c r="J337" i="1"/>
  <c r="J435" i="1" a="1"/>
  <c r="J435" i="1"/>
  <c r="J751" i="1" a="1"/>
  <c r="J751" i="1"/>
  <c r="J872" i="1" a="1"/>
  <c r="J872" i="1"/>
  <c r="J871" i="1" a="1"/>
  <c r="J871" i="1"/>
  <c r="J86" i="1" a="1"/>
  <c r="J86" i="1"/>
  <c r="J397" i="1" a="1"/>
  <c r="J397" i="1"/>
  <c r="J498" i="1" a="1"/>
  <c r="J498" i="1"/>
  <c r="J416" i="1" a="1"/>
  <c r="J416" i="1"/>
  <c r="J430" i="1" a="1"/>
  <c r="J430" i="1"/>
  <c r="J345" i="1" a="1"/>
  <c r="J345" i="1"/>
  <c r="J934" i="1" a="1"/>
  <c r="J934" i="1"/>
  <c r="J57" i="1" a="1"/>
  <c r="J57" i="1"/>
  <c r="J94" i="1" a="1"/>
  <c r="J94" i="1"/>
  <c r="J105" i="1" a="1"/>
  <c r="J105" i="1"/>
  <c r="J869" i="1" a="1"/>
  <c r="J869" i="1"/>
  <c r="J925" i="1" a="1"/>
  <c r="J925" i="1"/>
  <c r="J443" i="1" a="1"/>
  <c r="J443" i="1"/>
  <c r="J516" i="1" a="1"/>
  <c r="J516" i="1"/>
  <c r="J851" i="1" a="1"/>
  <c r="J851" i="1"/>
  <c r="J650" i="1" a="1"/>
  <c r="J650" i="1"/>
  <c r="J747" i="1" a="1"/>
  <c r="J747" i="1"/>
  <c r="J753" i="1" a="1"/>
  <c r="J753" i="1"/>
  <c r="J265" i="1" a="1"/>
  <c r="J265" i="1"/>
  <c r="J377" i="1" a="1"/>
  <c r="J377" i="1"/>
  <c r="J811" i="1" a="1"/>
  <c r="J811" i="1"/>
  <c r="J412" i="1" a="1"/>
  <c r="J412" i="1"/>
  <c r="J760" i="1" a="1"/>
  <c r="J760" i="1"/>
  <c r="J599" i="1" a="1"/>
  <c r="J599" i="1"/>
  <c r="J353" i="1" a="1"/>
  <c r="J353" i="1"/>
  <c r="J651" i="1" a="1"/>
  <c r="J651" i="1"/>
  <c r="J897" i="1" a="1"/>
  <c r="J897" i="1"/>
  <c r="J383" i="1" a="1"/>
  <c r="J383" i="1"/>
  <c r="J239" i="1" a="1"/>
  <c r="J239" i="1"/>
  <c r="J868" i="1" a="1"/>
  <c r="J868" i="1"/>
  <c r="J942" i="1" a="1"/>
  <c r="J942" i="1"/>
  <c r="J96" i="1" a="1"/>
  <c r="J96" i="1"/>
  <c r="J254" i="1" a="1"/>
  <c r="J254" i="1"/>
  <c r="J982" i="1" a="1"/>
  <c r="J982" i="1"/>
  <c r="J877" i="1" a="1"/>
  <c r="J877" i="1"/>
  <c r="J676" i="1" a="1"/>
  <c r="J676" i="1"/>
  <c r="J773" i="1" a="1"/>
  <c r="J773" i="1"/>
  <c r="J436" i="1" a="1"/>
  <c r="J436" i="1"/>
  <c r="J322" i="1" a="1"/>
  <c r="J322" i="1"/>
  <c r="J325" i="1" a="1"/>
  <c r="J325" i="1"/>
  <c r="J718" i="1" a="1"/>
  <c r="J718" i="1"/>
  <c r="J444" i="1" a="1"/>
  <c r="J444" i="1"/>
  <c r="J928" i="1" a="1"/>
  <c r="J928" i="1"/>
  <c r="J776" i="1" a="1"/>
  <c r="J776" i="1"/>
  <c r="J468" i="1" a="1"/>
  <c r="J468" i="1"/>
  <c r="J997" i="1" a="1"/>
  <c r="J997" i="1"/>
  <c r="J458" i="1" a="1"/>
  <c r="J458" i="1"/>
  <c r="J631" i="1" a="1"/>
  <c r="J631" i="1"/>
  <c r="J366" i="1" a="1"/>
  <c r="J366" i="1"/>
  <c r="J586" i="1" a="1"/>
  <c r="J586" i="1"/>
  <c r="J414" i="1" a="1"/>
  <c r="J414" i="1"/>
  <c r="J27" i="1" a="1"/>
  <c r="J27" i="1"/>
  <c r="J226" i="1" a="1"/>
  <c r="J226" i="1"/>
  <c r="J83" i="1" a="1"/>
  <c r="J83" i="1"/>
  <c r="J316" i="1" a="1"/>
  <c r="J316" i="1"/>
  <c r="J792" i="1" a="1"/>
  <c r="J792" i="1"/>
  <c r="J750" i="1" a="1"/>
  <c r="J750" i="1"/>
  <c r="J575" i="1" a="1"/>
  <c r="J575" i="1"/>
  <c r="J710" i="1" a="1"/>
  <c r="J710" i="1"/>
  <c r="J932" i="1" a="1"/>
  <c r="J932" i="1"/>
  <c r="J191" i="1" a="1"/>
  <c r="J191" i="1"/>
  <c r="J248" i="1" a="1"/>
  <c r="J248" i="1"/>
  <c r="J924" i="1" a="1"/>
  <c r="J924" i="1"/>
  <c r="J550" i="1" a="1"/>
  <c r="J550" i="1"/>
  <c r="J930" i="1" a="1"/>
  <c r="J930" i="1"/>
  <c r="J941" i="1" a="1"/>
  <c r="J941" i="1"/>
  <c r="J183" i="1" a="1"/>
  <c r="J183" i="1"/>
  <c r="J327" i="1" a="1"/>
  <c r="J327" i="1"/>
  <c r="J302" i="1" a="1"/>
  <c r="J302" i="1"/>
  <c r="J271" i="1" a="1"/>
  <c r="J271" i="1"/>
  <c r="J791" i="1" a="1"/>
  <c r="J791" i="1"/>
  <c r="J931" i="1" a="1"/>
  <c r="J931" i="1"/>
  <c r="J292" i="1" a="1"/>
  <c r="J292" i="1"/>
  <c r="J891" i="1" a="1"/>
  <c r="J891" i="1"/>
  <c r="J755" i="1" a="1"/>
  <c r="J755" i="1"/>
  <c r="J909" i="1" a="1"/>
  <c r="J909" i="1"/>
  <c r="J169" i="1" a="1"/>
  <c r="J169" i="1"/>
  <c r="J917" i="1" a="1"/>
  <c r="J917" i="1"/>
  <c r="J55" i="1" a="1"/>
  <c r="J55" i="1"/>
  <c r="J679" i="1" a="1"/>
  <c r="J679" i="1"/>
  <c r="J441" i="1" a="1"/>
  <c r="J441" i="1"/>
  <c r="J836" i="1" a="1"/>
  <c r="J836" i="1"/>
  <c r="J206" i="1" a="1"/>
  <c r="J206" i="1"/>
  <c r="J657" i="1" a="1"/>
  <c r="J657" i="1"/>
  <c r="J193" i="1" a="1"/>
  <c r="J193" i="1"/>
  <c r="J171" i="1" a="1"/>
  <c r="J171" i="1"/>
  <c r="J954" i="1" a="1"/>
  <c r="J954" i="1"/>
  <c r="J136" i="1" a="1"/>
  <c r="J136" i="1"/>
  <c r="J888" i="1" a="1"/>
  <c r="J888" i="1"/>
  <c r="J422" i="1" a="1"/>
  <c r="J422" i="1"/>
  <c r="J89" i="1" a="1"/>
  <c r="J89" i="1"/>
  <c r="J187" i="1" a="1"/>
  <c r="J187" i="1"/>
  <c r="J211" i="1" a="1"/>
  <c r="J211" i="1"/>
  <c r="J280" i="1" a="1"/>
  <c r="J280" i="1"/>
  <c r="J543" i="1" a="1"/>
  <c r="J543" i="1"/>
  <c r="J637" i="1" a="1"/>
  <c r="J637" i="1"/>
  <c r="J732" i="1" a="1"/>
  <c r="J732" i="1"/>
  <c r="J63" i="1" a="1"/>
  <c r="J63" i="1"/>
  <c r="J547" i="1" a="1"/>
  <c r="J547" i="1"/>
  <c r="J674" i="1" a="1"/>
  <c r="J674" i="1"/>
  <c r="J629" i="1" a="1"/>
  <c r="J629" i="1"/>
  <c r="J453" i="1" a="1"/>
  <c r="J453" i="1"/>
  <c r="J818" i="1" a="1"/>
  <c r="J818" i="1"/>
  <c r="J60" i="1" a="1"/>
  <c r="J60" i="1"/>
  <c r="J104" i="1" a="1"/>
  <c r="J104" i="1"/>
  <c r="J568" i="1" a="1"/>
  <c r="J568" i="1"/>
  <c r="J361" i="1" a="1"/>
  <c r="J361" i="1"/>
  <c r="J545" i="1" a="1"/>
  <c r="J545" i="1"/>
  <c r="J901" i="1" a="1"/>
  <c r="J901" i="1"/>
  <c r="J989" i="1" a="1"/>
  <c r="J989" i="1"/>
  <c r="J359" i="1" a="1"/>
  <c r="J359" i="1"/>
  <c r="J134" i="1" a="1"/>
  <c r="J134" i="1"/>
  <c r="J215" i="1" a="1"/>
  <c r="J215" i="1"/>
  <c r="J866" i="1" a="1"/>
  <c r="J866" i="1"/>
  <c r="J903" i="1" a="1"/>
  <c r="J903" i="1"/>
  <c r="J260" i="1" a="1"/>
  <c r="J260" i="1"/>
  <c r="J714" i="1" a="1"/>
  <c r="J714" i="1"/>
  <c r="J297" i="1" a="1"/>
  <c r="J297" i="1"/>
  <c r="J621" i="1" a="1"/>
  <c r="J621" i="1"/>
  <c r="J817" i="1" a="1"/>
  <c r="J817" i="1"/>
  <c r="J505" i="1" a="1"/>
  <c r="J505" i="1"/>
  <c r="J912" i="1" a="1"/>
  <c r="J912" i="1"/>
  <c r="J658" i="1" a="1"/>
  <c r="J658" i="1"/>
  <c r="J482" i="1" a="1"/>
  <c r="J482" i="1"/>
  <c r="J588" i="1" a="1"/>
  <c r="J588" i="1"/>
  <c r="J790" i="1" a="1"/>
  <c r="J790" i="1"/>
  <c r="J387" i="1" a="1"/>
  <c r="J387" i="1"/>
  <c r="J247" i="1" a="1"/>
  <c r="J247" i="1"/>
  <c r="J12" i="1" a="1"/>
  <c r="J12" i="1"/>
  <c r="J565" i="1" a="1"/>
  <c r="J565" i="1"/>
  <c r="J145" i="1" a="1"/>
  <c r="J145" i="1"/>
  <c r="J93" i="1" a="1"/>
  <c r="J93" i="1"/>
  <c r="J276" i="1" a="1"/>
  <c r="J276" i="1"/>
  <c r="J990" i="1" a="1"/>
  <c r="J990" i="1"/>
  <c r="J71" i="1" a="1"/>
  <c r="J71" i="1"/>
  <c r="J233" i="1" a="1"/>
  <c r="J233" i="1"/>
  <c r="J569" i="1" a="1"/>
  <c r="J569" i="1"/>
  <c r="J76" i="1" a="1"/>
  <c r="J76" i="1"/>
  <c r="J858" i="1" a="1"/>
  <c r="J858" i="1"/>
  <c r="J816" i="1" a="1"/>
  <c r="J816" i="1"/>
  <c r="J627" i="1" a="1"/>
  <c r="J627" i="1"/>
  <c r="J838" i="1" a="1"/>
  <c r="J838" i="1"/>
  <c r="J855" i="1" a="1"/>
  <c r="J855" i="1"/>
  <c r="J228" i="1" a="1"/>
  <c r="J228" i="1"/>
  <c r="J793" i="1" a="1"/>
  <c r="J793" i="1"/>
  <c r="J612" i="1" a="1"/>
  <c r="J612" i="1"/>
  <c r="J591" i="1" a="1"/>
  <c r="J591" i="1"/>
  <c r="J158" i="1" a="1"/>
  <c r="J158" i="1"/>
  <c r="J728" i="1" a="1"/>
  <c r="J728" i="1"/>
  <c r="J510" i="1" a="1"/>
  <c r="J510" i="1"/>
  <c r="J731" i="1" a="1"/>
  <c r="J731" i="1"/>
  <c r="J42" i="1" a="1"/>
  <c r="J42" i="1"/>
  <c r="J121" i="1" a="1"/>
  <c r="J121" i="1"/>
  <c r="J622" i="1" a="1"/>
  <c r="J622" i="1"/>
  <c r="J301" i="1" a="1"/>
  <c r="J301" i="1"/>
  <c r="J312" i="1" a="1"/>
  <c r="J312" i="1"/>
  <c r="J644" i="1" a="1"/>
  <c r="J644" i="1"/>
  <c r="J937" i="1" a="1"/>
  <c r="J937" i="1"/>
  <c r="J873" i="1" a="1"/>
  <c r="J873" i="1"/>
  <c r="J120" i="1" a="1"/>
  <c r="J120" i="1"/>
  <c r="J410" i="1" a="1"/>
  <c r="J410" i="1"/>
  <c r="J605" i="1" a="1"/>
  <c r="J605" i="1"/>
  <c r="J950" i="1" a="1"/>
  <c r="J950" i="1"/>
  <c r="J996" i="1" a="1"/>
  <c r="J996" i="1"/>
  <c r="J525" i="1" a="1"/>
  <c r="J525" i="1"/>
  <c r="J820" i="1" a="1"/>
  <c r="J820" i="1"/>
  <c r="J113" i="1" a="1"/>
  <c r="J113" i="1"/>
  <c r="J632" i="1" a="1"/>
  <c r="J632" i="1"/>
  <c r="J782" i="1" a="1"/>
  <c r="J782" i="1"/>
  <c r="J384" i="1" a="1"/>
  <c r="J384" i="1"/>
  <c r="J236" i="1" a="1"/>
  <c r="J236" i="1"/>
  <c r="J9" i="1" a="1"/>
  <c r="J9" i="1"/>
  <c r="J405" i="1" a="1"/>
  <c r="J405" i="1"/>
  <c r="J216" i="1" a="1"/>
  <c r="J216" i="1"/>
  <c r="J988" i="1" a="1"/>
  <c r="J988" i="1"/>
  <c r="J846" i="1" a="1"/>
  <c r="J846" i="1"/>
  <c r="J898" i="1" a="1"/>
  <c r="J898" i="1"/>
  <c r="J34" i="1" a="1"/>
  <c r="J34" i="1"/>
  <c r="J803" i="1" a="1"/>
  <c r="J803" i="1"/>
  <c r="J245" i="1" a="1"/>
  <c r="J245" i="1"/>
  <c r="J958" i="1" a="1"/>
  <c r="J958" i="1"/>
  <c r="J480" i="1" a="1"/>
  <c r="J480" i="1"/>
  <c r="J186" i="1" a="1"/>
  <c r="J186" i="1"/>
  <c r="J234" i="1" a="1"/>
  <c r="J234" i="1"/>
  <c r="J805" i="1" a="1"/>
  <c r="J805" i="1"/>
  <c r="J399" i="1" a="1"/>
  <c r="J399" i="1"/>
  <c r="J822" i="1" a="1"/>
  <c r="J822" i="1"/>
  <c r="J951" i="1" a="1"/>
  <c r="J951" i="1"/>
  <c r="J557" i="1" a="1"/>
  <c r="J557" i="1"/>
  <c r="J488" i="1" a="1"/>
  <c r="J488" i="1"/>
  <c r="J953" i="1" a="1"/>
  <c r="J953" i="1"/>
  <c r="J495" i="1" a="1"/>
  <c r="J495" i="1"/>
  <c r="J725" i="1" a="1"/>
  <c r="J725" i="1"/>
  <c r="J47" i="1" a="1"/>
  <c r="J47" i="1"/>
  <c r="J649" i="1" a="1"/>
  <c r="J649" i="1"/>
  <c r="J72" i="1" a="1"/>
  <c r="J72" i="1"/>
  <c r="J860" i="1" a="1"/>
  <c r="J860" i="1"/>
  <c r="J497" i="1" a="1"/>
  <c r="J497" i="1"/>
  <c r="J219" i="1" a="1"/>
  <c r="J219" i="1"/>
  <c r="J434" i="1" a="1"/>
  <c r="J434" i="1"/>
  <c r="J138" i="1" a="1"/>
  <c r="J138" i="1"/>
  <c r="J795" i="1" a="1"/>
  <c r="J795" i="1"/>
  <c r="J677" i="1" a="1"/>
  <c r="J677" i="1"/>
  <c r="J780" i="1" a="1"/>
  <c r="J780" i="1"/>
  <c r="J765" i="1" a="1"/>
  <c r="J765" i="1"/>
  <c r="J428" i="1" a="1"/>
  <c r="J428" i="1"/>
  <c r="J974" i="1" a="1"/>
  <c r="J974" i="1"/>
  <c r="J762" i="1" a="1"/>
  <c r="J762" i="1"/>
  <c r="J524" i="1" a="1"/>
  <c r="J524" i="1"/>
  <c r="J429" i="1" a="1"/>
  <c r="J429" i="1"/>
  <c r="J64" i="1" a="1"/>
  <c r="J64" i="1"/>
  <c r="J652" i="1" a="1"/>
  <c r="J652" i="1"/>
  <c r="J618" i="1" a="1"/>
  <c r="J618" i="1"/>
  <c r="J785" i="1" a="1"/>
  <c r="J785" i="1"/>
  <c r="J16" i="1" a="1"/>
  <c r="J16" i="1"/>
  <c r="J850" i="1" a="1"/>
  <c r="J850" i="1"/>
  <c r="J465" i="1" a="1"/>
  <c r="J465" i="1"/>
  <c r="J956" i="1" a="1"/>
  <c r="J956" i="1"/>
  <c r="J342" i="1" a="1"/>
  <c r="J342" i="1"/>
  <c r="J700" i="1" a="1"/>
  <c r="J700" i="1"/>
  <c r="J733" i="1" a="1"/>
  <c r="J733" i="1"/>
  <c r="J356" i="1" a="1"/>
  <c r="J356" i="1"/>
  <c r="J503" i="1" a="1"/>
  <c r="J503" i="1"/>
  <c r="J560" i="1" a="1"/>
  <c r="J560" i="1"/>
  <c r="J693" i="1" a="1"/>
  <c r="J693" i="1"/>
  <c r="J697" i="1" a="1"/>
  <c r="J697" i="1"/>
  <c r="J975" i="1" a="1"/>
  <c r="J975" i="1"/>
  <c r="J88" i="1" a="1"/>
  <c r="J88" i="1"/>
  <c r="J746" i="1" a="1"/>
  <c r="J746" i="1"/>
  <c r="J447" i="1" a="1"/>
  <c r="J447" i="1"/>
  <c r="J531" i="1" a="1"/>
  <c r="J531" i="1"/>
  <c r="J598" i="1" a="1"/>
  <c r="J598" i="1"/>
  <c r="J913" i="1" a="1"/>
  <c r="J913" i="1"/>
  <c r="J594" i="1" a="1"/>
  <c r="J594" i="1"/>
  <c r="J502" i="1" a="1"/>
  <c r="J502" i="1"/>
  <c r="J109" i="1" a="1"/>
  <c r="J109" i="1"/>
  <c r="J291" i="1" a="1"/>
  <c r="J291" i="1"/>
  <c r="J451" i="1" a="1"/>
  <c r="J451" i="1"/>
  <c r="J51" i="1" a="1"/>
  <c r="J51" i="1"/>
  <c r="J262" i="1" a="1"/>
  <c r="J262" i="1"/>
  <c r="J528" i="1" a="1"/>
  <c r="J528" i="1"/>
  <c r="J966" i="1" a="1"/>
  <c r="J966" i="1"/>
  <c r="J839" i="1" a="1"/>
  <c r="J839" i="1"/>
  <c r="J636" i="1" a="1"/>
  <c r="J636" i="1"/>
  <c r="J763" i="1" a="1"/>
  <c r="J763" i="1"/>
  <c r="J189" i="1" a="1"/>
  <c r="J189" i="1"/>
  <c r="J628" i="1" a="1"/>
  <c r="J628" i="1"/>
  <c r="J957" i="1" a="1"/>
  <c r="J957" i="1"/>
  <c r="J853" i="1" a="1"/>
  <c r="J853" i="1"/>
  <c r="J165" i="1" a="1"/>
  <c r="J165" i="1"/>
  <c r="J393" i="1" a="1"/>
  <c r="J393" i="1"/>
  <c r="J508" i="1" a="1"/>
  <c r="J508" i="1"/>
  <c r="J549" i="1" a="1"/>
  <c r="J549" i="1"/>
  <c r="J391" i="1" a="1"/>
  <c r="J391" i="1"/>
  <c r="J151" i="1" a="1"/>
  <c r="J151" i="1"/>
  <c r="J290" i="1" a="1"/>
  <c r="J290" i="1"/>
  <c r="J840" i="1" a="1"/>
  <c r="J840" i="1"/>
  <c r="J460" i="1" a="1"/>
  <c r="J460" i="1"/>
  <c r="J198" i="1" a="1"/>
  <c r="J198" i="1"/>
  <c r="J752" i="1" a="1"/>
  <c r="J752" i="1"/>
  <c r="J641" i="1" a="1"/>
  <c r="J641" i="1"/>
  <c r="J949" i="1" a="1"/>
  <c r="J949" i="1"/>
  <c r="J6" i="1" a="1"/>
  <c r="J6" i="1"/>
  <c r="J389" i="1" a="1"/>
  <c r="J389" i="1"/>
  <c r="J999" i="1" a="1"/>
  <c r="J999" i="1"/>
  <c r="J282" i="1" a="1"/>
  <c r="J282" i="1"/>
  <c r="J259" i="1" a="1"/>
  <c r="J259" i="1"/>
  <c r="J40" i="1" a="1"/>
  <c r="J40" i="1"/>
  <c r="J61" i="1" a="1"/>
  <c r="J61" i="1"/>
  <c r="J741" i="1" a="1"/>
  <c r="J741" i="1"/>
  <c r="J487" i="1" a="1"/>
  <c r="J487" i="1"/>
  <c r="J398" i="1" a="1"/>
  <c r="J398" i="1"/>
  <c r="J915" i="1" a="1"/>
  <c r="J915" i="1"/>
  <c r="J74" i="1" a="1"/>
  <c r="J74" i="1"/>
  <c r="J526" i="1" a="1"/>
  <c r="J526" i="1"/>
  <c r="J132" i="1" a="1"/>
  <c r="J132" i="1"/>
  <c r="J548" i="1" a="1"/>
  <c r="J548" i="1"/>
  <c r="J77" i="1" a="1"/>
  <c r="J77" i="1"/>
  <c r="J829" i="1" a="1"/>
  <c r="J829" i="1"/>
  <c r="J570" i="1" a="1"/>
  <c r="J570" i="1"/>
  <c r="J298" i="1" a="1"/>
  <c r="J298" i="1"/>
  <c r="J555" i="1" a="1"/>
  <c r="J555" i="1"/>
  <c r="J69" i="1" a="1"/>
  <c r="J69" i="1"/>
  <c r="J431" i="1" a="1"/>
  <c r="J431" i="1"/>
  <c r="J534" i="1" a="1"/>
  <c r="J534" i="1"/>
  <c r="J442" i="1" a="1"/>
  <c r="J442" i="1"/>
  <c r="J26" i="1" a="1"/>
  <c r="J26" i="1"/>
  <c r="J576" i="1" a="1"/>
  <c r="J576" i="1"/>
  <c r="J231" i="1" a="1"/>
  <c r="J231" i="1"/>
  <c r="J821" i="1" a="1"/>
  <c r="J821" i="1"/>
  <c r="J744" i="1" a="1"/>
  <c r="J744" i="1"/>
  <c r="J418" i="1" a="1"/>
  <c r="J418" i="1"/>
  <c r="J73" i="1" a="1"/>
  <c r="J73" i="1"/>
  <c r="J472" i="1" a="1"/>
  <c r="J472" i="1"/>
  <c r="J53" i="1" a="1"/>
  <c r="J53" i="1"/>
  <c r="J768" i="1" a="1"/>
  <c r="J768" i="1"/>
  <c r="J142" i="1" a="1"/>
  <c r="J142" i="1"/>
  <c r="J207" i="1" a="1"/>
  <c r="J207" i="1"/>
  <c r="J567" i="1" a="1"/>
  <c r="J567" i="1"/>
  <c r="J440" i="1" a="1"/>
  <c r="J440" i="1"/>
  <c r="J242" i="1" a="1"/>
  <c r="J242" i="1"/>
  <c r="J1001" i="1" a="1"/>
  <c r="J1001" i="1"/>
  <c r="J563" i="1" a="1"/>
  <c r="J563" i="1"/>
  <c r="J584" i="1" a="1"/>
  <c r="J584" i="1"/>
  <c r="J726" i="1" a="1"/>
  <c r="J726" i="1"/>
  <c r="J400" i="1" a="1"/>
  <c r="J400" i="1"/>
  <c r="J192" i="1" a="1"/>
  <c r="J192" i="1"/>
  <c r="J152" i="1" a="1"/>
  <c r="J152" i="1"/>
  <c r="J90" i="1" a="1"/>
  <c r="J90" i="1"/>
  <c r="J539" i="1" a="1"/>
  <c r="J539" i="1"/>
  <c r="J348" i="1" a="1"/>
  <c r="J348" i="1"/>
  <c r="J380" i="1" a="1"/>
  <c r="J380" i="1"/>
  <c r="J381" i="1" a="1"/>
  <c r="J381" i="1"/>
  <c r="J56" i="1" a="1"/>
  <c r="J56" i="1"/>
  <c r="J717" i="1" a="1"/>
  <c r="J717" i="1"/>
  <c r="J289" i="1" a="1"/>
  <c r="J289" i="1"/>
  <c r="J334" i="1" a="1"/>
  <c r="J334" i="1"/>
  <c r="J771" i="1" a="1"/>
  <c r="J771" i="1"/>
  <c r="J87" i="1" a="1"/>
  <c r="J87" i="1"/>
  <c r="J885" i="1" a="1"/>
  <c r="J885" i="1"/>
  <c r="J587" i="1" a="1"/>
  <c r="J587" i="1"/>
  <c r="J287" i="1" a="1"/>
  <c r="J287" i="1"/>
  <c r="J78" i="1" a="1"/>
  <c r="J78" i="1"/>
  <c r="J119" i="1" a="1"/>
  <c r="J119" i="1"/>
  <c r="J139" i="1" a="1"/>
  <c r="J139" i="1"/>
  <c r="J523" i="1" a="1"/>
  <c r="J523" i="1"/>
  <c r="J875" i="1" a="1"/>
  <c r="J875" i="1"/>
  <c r="J681" i="1" a="1"/>
  <c r="J681" i="1"/>
  <c r="J58" i="1" a="1"/>
  <c r="J58" i="1"/>
  <c r="J554" i="1" a="1"/>
  <c r="J554" i="1"/>
  <c r="J696" i="1" a="1"/>
  <c r="J696" i="1"/>
  <c r="J739" i="1" a="1"/>
  <c r="J739" i="1"/>
  <c r="J807" i="1" a="1"/>
  <c r="J807" i="1"/>
  <c r="J972" i="1" a="1"/>
  <c r="J972" i="1"/>
  <c r="J947" i="1" a="1"/>
  <c r="J947" i="1"/>
  <c r="J661" i="1" a="1"/>
  <c r="J661" i="1"/>
  <c r="J333" i="1" a="1"/>
  <c r="J333" i="1"/>
  <c r="J148" i="1" a="1"/>
  <c r="J148" i="1"/>
  <c r="J900" i="1" a="1"/>
  <c r="J900" i="1"/>
  <c r="J363" i="1" a="1"/>
  <c r="J363" i="1"/>
  <c r="J425" i="1" a="1"/>
  <c r="J425" i="1"/>
  <c r="J124" i="1" a="1"/>
  <c r="J124" i="1"/>
  <c r="J199" i="1" a="1"/>
  <c r="J199" i="1"/>
  <c r="J743" i="1" a="1"/>
  <c r="J743" i="1"/>
  <c r="J28" i="1" a="1"/>
  <c r="J28" i="1"/>
  <c r="J463" i="1" a="1"/>
  <c r="J463" i="1"/>
  <c r="J306" i="1" a="1"/>
  <c r="J306" i="1"/>
  <c r="J448" i="1" a="1"/>
  <c r="J448" i="1"/>
  <c r="J667" i="1" a="1"/>
  <c r="J667" i="1"/>
  <c r="J806" i="1" a="1"/>
  <c r="J806" i="1"/>
  <c r="J91" i="1" a="1"/>
  <c r="J91" i="1"/>
  <c r="J36" i="1" a="1"/>
  <c r="J36" i="1"/>
  <c r="J994" i="1" a="1"/>
  <c r="J994" i="1"/>
  <c r="J856" i="1" a="1"/>
  <c r="J856" i="1"/>
  <c r="J407" i="1" a="1"/>
  <c r="J407" i="1"/>
  <c r="J704" i="1" a="1"/>
  <c r="J704" i="1"/>
  <c r="J766" i="1" a="1"/>
  <c r="J766" i="1"/>
  <c r="J23" i="1" a="1"/>
  <c r="J23" i="1"/>
  <c r="J284" i="1" a="1"/>
  <c r="J284" i="1"/>
  <c r="J351" i="1" a="1"/>
  <c r="J351" i="1"/>
  <c r="J943" i="1" a="1"/>
  <c r="J943" i="1"/>
  <c r="J222" i="1" a="1"/>
  <c r="J222" i="1"/>
  <c r="J647" i="1" a="1"/>
  <c r="J647" i="1"/>
  <c r="J831" i="1" a="1"/>
  <c r="J831" i="1"/>
  <c r="J362" i="1" a="1"/>
  <c r="J362" i="1"/>
  <c r="J815" i="1" a="1"/>
  <c r="J815" i="1"/>
  <c r="J352" i="1" a="1"/>
  <c r="J352" i="1"/>
  <c r="J70" i="1" a="1"/>
  <c r="J70" i="1"/>
  <c r="J274" i="1" a="1"/>
  <c r="J274" i="1"/>
  <c r="J220" i="1" a="1"/>
  <c r="J220" i="1"/>
  <c r="J172" i="1" a="1"/>
  <c r="J172" i="1"/>
  <c r="J541" i="1" a="1"/>
  <c r="J541" i="1"/>
  <c r="J382" i="1" a="1"/>
  <c r="J382" i="1"/>
  <c r="J144" i="1" a="1"/>
  <c r="J144" i="1"/>
  <c r="J300" i="1" a="1"/>
  <c r="J300" i="1"/>
  <c r="J406" i="1" a="1"/>
  <c r="J406" i="1"/>
  <c r="J241" i="1" a="1"/>
  <c r="J241" i="1"/>
  <c r="J378" i="1" a="1"/>
  <c r="J378" i="1"/>
  <c r="J786" i="1" a="1"/>
  <c r="J786" i="1"/>
  <c r="J331" i="1" a="1"/>
  <c r="J331" i="1"/>
  <c r="J372" i="1" a="1"/>
  <c r="J372" i="1"/>
  <c r="J638" i="1" a="1"/>
  <c r="J638" i="1"/>
  <c r="J654" i="1" a="1"/>
  <c r="J654" i="1"/>
  <c r="J115" i="1" a="1"/>
  <c r="J115" i="1"/>
  <c r="J604" i="1" a="1"/>
  <c r="J604" i="1"/>
  <c r="J283" i="1" a="1"/>
  <c r="J283" i="1"/>
  <c r="J321" i="1" a="1"/>
  <c r="J321" i="1"/>
  <c r="J130" i="1" a="1"/>
  <c r="J130" i="1"/>
  <c r="J675" i="1" a="1"/>
  <c r="J675" i="1"/>
  <c r="J607" i="1" a="1"/>
  <c r="J607" i="1"/>
  <c r="J385" i="1" a="1"/>
  <c r="J385" i="1"/>
  <c r="J895" i="1" a="1"/>
  <c r="J895" i="1"/>
  <c r="J2" i="1" a="1"/>
  <c r="J2" i="1"/>
  <c r="J585" i="1" a="1"/>
  <c r="J585" i="1"/>
  <c r="J680" i="1" a="1"/>
  <c r="J680" i="1"/>
  <c r="J610" i="1" a="1"/>
  <c r="J610" i="1"/>
  <c r="J522" i="1" a="1"/>
  <c r="J522" i="1"/>
  <c r="J540" i="1" a="1"/>
  <c r="J540" i="1"/>
  <c r="J255" i="1" a="1"/>
  <c r="J255" i="1"/>
  <c r="J890" i="1" a="1"/>
  <c r="J890" i="1"/>
  <c r="J812" i="1" a="1"/>
  <c r="J812" i="1"/>
  <c r="J802" i="1" a="1"/>
  <c r="J802" i="1"/>
  <c r="J685" i="1" a="1"/>
  <c r="J685" i="1"/>
  <c r="J462" i="1" a="1"/>
  <c r="J462" i="1"/>
  <c r="J29" i="1" a="1"/>
  <c r="J29" i="1"/>
  <c r="J800" i="1" a="1"/>
  <c r="J800" i="1"/>
  <c r="J10" i="1" a="1"/>
  <c r="J10" i="1"/>
  <c r="J715" i="1" a="1"/>
  <c r="J715" i="1"/>
  <c r="J921" i="1" a="1"/>
  <c r="J921" i="1"/>
  <c r="J427" i="1" a="1"/>
  <c r="J427" i="1"/>
  <c r="J433" i="1" a="1"/>
  <c r="J433" i="1"/>
  <c r="J530" i="1" a="1"/>
  <c r="J530" i="1"/>
  <c r="J249" i="1" a="1"/>
  <c r="J249" i="1"/>
  <c r="J346" i="1" a="1"/>
  <c r="J346" i="1"/>
  <c r="J426" i="1" a="1"/>
  <c r="J426" i="1"/>
  <c r="J923" i="1" a="1"/>
  <c r="J923" i="1"/>
  <c r="J730" i="1" a="1"/>
  <c r="J730" i="1"/>
  <c r="J419" i="1" a="1"/>
  <c r="J419" i="1"/>
  <c r="J457" i="1" a="1"/>
  <c r="J457" i="1"/>
  <c r="J185" i="1" a="1"/>
  <c r="J185" i="1"/>
  <c r="J24" i="1" a="1"/>
  <c r="J24" i="1"/>
  <c r="J978" i="1" a="1"/>
  <c r="J978" i="1"/>
  <c r="J200" i="1" a="1"/>
  <c r="J200" i="1"/>
  <c r="J473" i="1" a="1"/>
  <c r="J473" i="1"/>
  <c r="J328" i="1" a="1"/>
  <c r="J328" i="1"/>
  <c r="J991" i="1" a="1"/>
  <c r="J991" i="1"/>
  <c r="J500" i="1" a="1"/>
  <c r="J500" i="1"/>
  <c r="J572" i="1" a="1"/>
  <c r="J572" i="1"/>
  <c r="J459" i="1" a="1"/>
  <c r="J459" i="1"/>
  <c r="J421" i="1" a="1"/>
  <c r="J421" i="1"/>
  <c r="J257" i="1" a="1"/>
  <c r="J257" i="1"/>
  <c r="J243" i="1" a="1"/>
  <c r="J243" i="1"/>
  <c r="J159" i="1" a="1"/>
  <c r="J159" i="1"/>
  <c r="J705" i="1" a="1"/>
  <c r="J705" i="1"/>
  <c r="J315" i="1" a="1"/>
  <c r="J315" i="1"/>
  <c r="J707" i="1" a="1"/>
  <c r="J707" i="1"/>
  <c r="J611" i="1" a="1"/>
  <c r="J611" i="1"/>
  <c r="J392" i="1" a="1"/>
  <c r="J392" i="1"/>
  <c r="J319" i="1" a="1"/>
  <c r="J319" i="1"/>
  <c r="J965" i="1" a="1"/>
  <c r="J965" i="1"/>
  <c r="J456" i="1" a="1"/>
  <c r="J456" i="1"/>
  <c r="J521" i="1" a="1"/>
  <c r="J521" i="1"/>
  <c r="J65" i="1" a="1"/>
  <c r="J65" i="1"/>
  <c r="J50" i="1" a="1"/>
  <c r="J50" i="1"/>
  <c r="J438" i="1" a="1"/>
  <c r="J438" i="1"/>
  <c r="J775" i="1" a="1"/>
  <c r="J775" i="1"/>
  <c r="J343" i="1" a="1"/>
  <c r="J343" i="1"/>
  <c r="J823" i="1" a="1"/>
  <c r="J823" i="1"/>
  <c r="J133" i="1" a="1"/>
  <c r="J133" i="1"/>
  <c r="J267" i="1" a="1"/>
  <c r="J267" i="1"/>
  <c r="J969" i="1" a="1"/>
  <c r="J969" i="1"/>
  <c r="J455" i="1" a="1"/>
  <c r="J455" i="1"/>
  <c r="J175" i="1" a="1"/>
  <c r="J175" i="1"/>
  <c r="J214" i="1" a="1"/>
  <c r="J214" i="1"/>
  <c r="J75" i="1" a="1"/>
  <c r="J75" i="1"/>
  <c r="J970" i="1" a="1"/>
  <c r="J970" i="1"/>
  <c r="J886" i="1" a="1"/>
  <c r="J886" i="1"/>
  <c r="J107" i="1" a="1"/>
  <c r="J107" i="1"/>
  <c r="J402" i="1" a="1"/>
  <c r="J402" i="1"/>
  <c r="J814" i="1" a="1"/>
  <c r="J814" i="1"/>
  <c r="J354" i="1" a="1"/>
  <c r="J354" i="1"/>
  <c r="J759" i="1" a="1"/>
  <c r="J759" i="1"/>
  <c r="J940" i="1" a="1"/>
  <c r="J940" i="1"/>
  <c r="J635" i="1" a="1"/>
  <c r="J635" i="1"/>
  <c r="J475" i="1" a="1"/>
  <c r="J475" i="1"/>
  <c r="J532" i="1" a="1"/>
  <c r="J532" i="1"/>
  <c r="J719" i="1" a="1"/>
  <c r="J719" i="1"/>
  <c r="J364" i="1" a="1"/>
  <c r="J364" i="1"/>
  <c r="J533" i="1" a="1"/>
  <c r="J533" i="1"/>
  <c r="J519" i="1" a="1"/>
  <c r="J519" i="1"/>
  <c r="J470" i="1" a="1"/>
  <c r="J470" i="1"/>
  <c r="J600" i="1" a="1"/>
  <c r="J600" i="1"/>
  <c r="J420" i="1" a="1"/>
  <c r="J420" i="1"/>
  <c r="J642" i="1" a="1"/>
  <c r="J642" i="1"/>
  <c r="J887" i="1" a="1"/>
  <c r="J887" i="1"/>
  <c r="J341" i="1" a="1"/>
  <c r="J341" i="1"/>
  <c r="J980" i="1" a="1"/>
  <c r="J980" i="1"/>
  <c r="J250" i="1" a="1"/>
  <c r="J250" i="1"/>
  <c r="J938" i="1" a="1"/>
  <c r="J938" i="1"/>
  <c r="J504" i="1" a="1"/>
  <c r="J504" i="1"/>
  <c r="J699" i="1" a="1"/>
  <c r="J699" i="1"/>
  <c r="J100" i="1" a="1"/>
  <c r="J100" i="1"/>
  <c r="J914" i="1" a="1"/>
  <c r="J914" i="1"/>
  <c r="J97" i="1" a="1"/>
  <c r="J97" i="1"/>
  <c r="J955" i="1" a="1"/>
  <c r="J955" i="1"/>
  <c r="J964" i="1" a="1"/>
  <c r="J964" i="1"/>
  <c r="J655" i="1" a="1"/>
  <c r="J655" i="1"/>
  <c r="J734" i="1" a="1"/>
  <c r="J734" i="1"/>
  <c r="J977" i="1" a="1"/>
  <c r="J977" i="1"/>
  <c r="J135" i="1" a="1"/>
  <c r="J135" i="1"/>
  <c r="J799" i="1" a="1"/>
  <c r="J799" i="1"/>
  <c r="J672" i="1" a="1"/>
  <c r="J672" i="1"/>
  <c r="J827" i="1" a="1"/>
  <c r="J827" i="1"/>
  <c r="J338" i="1" a="1"/>
  <c r="J338" i="1"/>
  <c r="J67" i="1" a="1"/>
  <c r="J67" i="1"/>
  <c r="J844" i="1" a="1"/>
  <c r="J844" i="1"/>
  <c r="J213" i="1" a="1"/>
  <c r="J213" i="1"/>
  <c r="J709" i="1" a="1"/>
  <c r="J709" i="1"/>
  <c r="J347" i="1" a="1"/>
  <c r="J347" i="1"/>
  <c r="J20" i="1" a="1"/>
  <c r="J20" i="1"/>
  <c r="J640" i="1" a="1"/>
  <c r="J640" i="1"/>
  <c r="J484" i="1" a="1"/>
  <c r="J484" i="1"/>
  <c r="J772" i="1" a="1"/>
  <c r="J772" i="1"/>
  <c r="J155" i="1" a="1"/>
  <c r="J155" i="1"/>
  <c r="J156" i="1" a="1"/>
  <c r="J156" i="1"/>
  <c r="J843" i="1" a="1"/>
  <c r="J843" i="1"/>
  <c r="J778" i="1" a="1"/>
  <c r="J778" i="1"/>
  <c r="J551" i="1" a="1"/>
  <c r="J551" i="1"/>
  <c r="J852" i="1" a="1"/>
  <c r="J852" i="1"/>
  <c r="J194" i="1" a="1"/>
  <c r="J194" i="1"/>
  <c r="J971" i="1" a="1"/>
  <c r="J971" i="1"/>
  <c r="J552" i="1" a="1"/>
  <c r="J552" i="1"/>
  <c r="J201" i="1" a="1"/>
  <c r="J201" i="1"/>
  <c r="J54" i="1" a="1"/>
  <c r="J54" i="1"/>
  <c r="J477" i="1" a="1"/>
  <c r="J477" i="1"/>
  <c r="J452" i="1" a="1"/>
  <c r="J452" i="1"/>
  <c r="J737" i="1" a="1"/>
  <c r="J737" i="1"/>
  <c r="J896" i="1" a="1"/>
  <c r="J896" i="1"/>
  <c r="J173" i="1" a="1"/>
  <c r="J173" i="1"/>
  <c r="J31" i="1" a="1"/>
  <c r="J31" i="1"/>
  <c r="J126" i="1" a="1"/>
  <c r="J126" i="1"/>
  <c r="J664" i="1" a="1"/>
  <c r="J664" i="1"/>
  <c r="J859" i="1" a="1"/>
  <c r="J859" i="1"/>
  <c r="J25" i="1" a="1"/>
  <c r="J25" i="1"/>
  <c r="J564" i="1" a="1"/>
  <c r="J564" i="1"/>
  <c r="J43" i="1" a="1"/>
  <c r="J43" i="1"/>
  <c r="J161" i="1" a="1"/>
  <c r="J161" i="1"/>
  <c r="J835" i="1" a="1"/>
  <c r="J835" i="1"/>
  <c r="J210" i="1" a="1"/>
  <c r="J210" i="1"/>
  <c r="J952" i="1" a="1"/>
  <c r="J952" i="1"/>
  <c r="J506" i="1" a="1"/>
  <c r="J506" i="1"/>
  <c r="J269" i="1" a="1"/>
  <c r="J269" i="1"/>
  <c r="J401" i="1" a="1"/>
  <c r="J401" i="1"/>
  <c r="J81" i="1" a="1"/>
  <c r="J81" i="1"/>
  <c r="J483" i="1" a="1"/>
  <c r="J483" i="1"/>
  <c r="J910" i="1" a="1"/>
  <c r="J910" i="1"/>
  <c r="J294" i="1" a="1"/>
  <c r="J294" i="1"/>
  <c r="J101" i="1" a="1"/>
  <c r="J101" i="1"/>
  <c r="J513" i="1" a="1"/>
  <c r="J513" i="1"/>
  <c r="J985" i="1" a="1"/>
  <c r="J985" i="1"/>
  <c r="J417" i="1" a="1"/>
  <c r="J417" i="1"/>
  <c r="J311" i="1" a="1"/>
  <c r="J311" i="1"/>
  <c r="J857" i="1" a="1"/>
  <c r="J857" i="1"/>
  <c r="J396" i="1" a="1"/>
  <c r="J396" i="1"/>
  <c r="J490" i="1" a="1"/>
  <c r="J490" i="1"/>
  <c r="J116" i="1" a="1"/>
  <c r="J116" i="1"/>
  <c r="J357" i="1" a="1"/>
  <c r="J357" i="1"/>
  <c r="J8" i="1" a="1"/>
  <c r="J8" i="1"/>
  <c r="J797" i="1" a="1"/>
  <c r="J797" i="1"/>
  <c r="J394" i="1" a="1"/>
  <c r="J394" i="1"/>
  <c r="J767" i="1" a="1"/>
  <c r="J767" i="1"/>
  <c r="J279" i="1" a="1"/>
  <c r="J279" i="1"/>
  <c r="J95" i="1" a="1"/>
  <c r="J95" i="1"/>
  <c r="J613" i="1" a="1"/>
  <c r="J613" i="1"/>
  <c r="J143" i="1" a="1"/>
  <c r="J143" i="1"/>
  <c r="J258" i="1" a="1"/>
  <c r="J258" i="1"/>
  <c r="J323" i="1" a="1"/>
  <c r="J323" i="1"/>
  <c r="J349" i="1" a="1"/>
  <c r="J349" i="1"/>
  <c r="J390" i="1" a="1"/>
  <c r="J390" i="1"/>
  <c r="J174" i="1" a="1"/>
  <c r="J174" i="1"/>
  <c r="J617" i="1" a="1"/>
  <c r="J617" i="1"/>
  <c r="J538" i="1" a="1"/>
  <c r="J538" i="1"/>
  <c r="J660" i="1" a="1"/>
  <c r="J660" i="1"/>
  <c r="J880" i="1" a="1"/>
  <c r="J880" i="1"/>
  <c r="J595" i="1" a="1"/>
  <c r="J595" i="1"/>
  <c r="J371" i="1" a="1"/>
  <c r="J371" i="1"/>
  <c r="J663" i="1" a="1"/>
  <c r="J663" i="1"/>
  <c r="J350" i="1" a="1"/>
  <c r="J350" i="1"/>
  <c r="J204" i="1" a="1"/>
  <c r="J204" i="1"/>
  <c r="J146" i="1" a="1"/>
  <c r="J146" i="1"/>
  <c r="J66" i="1" a="1"/>
  <c r="J66" i="1"/>
  <c r="J466" i="1" a="1"/>
  <c r="J466" i="1"/>
  <c r="J518" i="1" a="1"/>
  <c r="J518" i="1"/>
  <c r="J967" i="1" a="1"/>
  <c r="J967" i="1"/>
  <c r="J305" i="1" a="1"/>
  <c r="J305" i="1"/>
  <c r="J535" i="1" a="1"/>
  <c r="J535" i="1"/>
  <c r="J758" i="1" a="1"/>
  <c r="J758" i="1"/>
  <c r="J317" i="1" a="1"/>
  <c r="J317" i="1"/>
  <c r="J724" i="1" a="1"/>
  <c r="J724" i="1"/>
  <c r="J499" i="1" a="1"/>
  <c r="J499" i="1"/>
  <c r="J639" i="1" a="1"/>
  <c r="J639" i="1"/>
  <c r="J515" i="1" a="1"/>
  <c r="J515" i="1"/>
  <c r="J593" i="1" a="1"/>
  <c r="J593" i="1"/>
  <c r="J167" i="1" a="1"/>
  <c r="J167" i="1"/>
  <c r="J15" i="1" a="1"/>
  <c r="J15" i="1"/>
  <c r="J606" i="1" a="1"/>
  <c r="J606" i="1"/>
  <c r="J225" i="1" a="1"/>
  <c r="J225" i="1"/>
  <c r="J987" i="1" a="1"/>
  <c r="J987" i="1"/>
  <c r="J286" i="1" a="1"/>
  <c r="J286" i="1"/>
  <c r="J754" i="1" a="1"/>
  <c r="J754" i="1"/>
  <c r="J882" i="1" a="1"/>
  <c r="J882" i="1"/>
  <c r="J669" i="1" a="1"/>
  <c r="J669" i="1"/>
  <c r="J437" i="1" a="1"/>
  <c r="J437" i="1"/>
  <c r="J314" i="1" a="1"/>
  <c r="J314" i="1"/>
  <c r="J224" i="1" a="1"/>
  <c r="J224" i="1"/>
  <c r="J670" i="1" a="1"/>
  <c r="J670" i="1"/>
  <c r="J35" i="1" a="1"/>
  <c r="J35" i="1"/>
  <c r="J330" i="1" a="1"/>
  <c r="J330" i="1"/>
  <c r="J103" i="1" a="1"/>
  <c r="J103" i="1"/>
  <c r="J4" i="1" a="1"/>
  <c r="J4" i="1"/>
  <c r="J309" i="1" a="1"/>
  <c r="J309" i="1"/>
  <c r="J375" i="1" a="1"/>
  <c r="J375" i="1"/>
  <c r="J981" i="1" a="1"/>
  <c r="J981" i="1"/>
  <c r="J874" i="1" a="1"/>
  <c r="J874" i="1"/>
  <c r="J577" i="1" a="1"/>
  <c r="J577" i="1"/>
  <c r="J701" i="1" a="1"/>
  <c r="J701" i="1"/>
  <c r="J439" i="1" a="1"/>
  <c r="J439" i="1"/>
  <c r="J30" i="1" a="1"/>
  <c r="J30" i="1"/>
  <c r="J666" i="1" a="1"/>
  <c r="J666" i="1"/>
  <c r="J561" i="1" a="1"/>
  <c r="J561" i="1"/>
  <c r="J79" i="1" a="1"/>
  <c r="J79" i="1"/>
  <c r="J190" i="1" a="1"/>
  <c r="J190" i="1"/>
  <c r="J485" i="1" a="1"/>
  <c r="J485" i="1"/>
  <c r="J335" i="1" a="1"/>
  <c r="J335" i="1"/>
  <c r="J227" i="1" a="1"/>
  <c r="J227" i="1"/>
  <c r="J273" i="1" a="1"/>
  <c r="J273" i="1"/>
  <c r="J507" i="1" a="1"/>
  <c r="J507" i="1"/>
  <c r="J408" i="1" a="1"/>
  <c r="J408" i="1"/>
  <c r="J240" i="1" a="1"/>
  <c r="J240" i="1"/>
  <c r="J527" i="1" a="1"/>
  <c r="J527" i="1"/>
  <c r="J501" i="1" a="1"/>
  <c r="J501" i="1"/>
  <c r="J19" i="1" a="1"/>
  <c r="J19" i="1"/>
  <c r="J369" i="1" a="1"/>
  <c r="J369" i="1"/>
  <c r="J615" i="1" a="1"/>
  <c r="J615" i="1"/>
  <c r="J558" i="1" a="1"/>
  <c r="J558" i="1"/>
  <c r="J645" i="1" a="1"/>
  <c r="J645" i="1"/>
  <c r="J687" i="1" a="1"/>
  <c r="J687" i="1"/>
  <c r="J833" i="1" a="1"/>
  <c r="J833" i="1"/>
  <c r="J745" i="1" a="1"/>
  <c r="J745" i="1"/>
  <c r="J542" i="1" a="1"/>
  <c r="J542" i="1"/>
  <c r="J834" i="1" a="1"/>
  <c r="J834" i="1"/>
  <c r="J263" i="1" a="1"/>
  <c r="J263" i="1"/>
  <c r="J32" i="1" a="1"/>
  <c r="J32" i="1"/>
  <c r="J756" i="1" a="1"/>
  <c r="J756" i="1"/>
  <c r="J749" i="1" a="1"/>
  <c r="J749" i="1"/>
  <c r="J712" i="1" a="1"/>
  <c r="J712" i="1"/>
  <c r="J324" i="1" a="1"/>
  <c r="J324" i="1"/>
  <c r="J603" i="1" a="1"/>
  <c r="J603" i="1"/>
  <c r="J181" i="1" a="1"/>
  <c r="J181" i="1"/>
  <c r="J278" i="1" a="1"/>
  <c r="J278" i="1"/>
  <c r="J163" i="1" a="1"/>
  <c r="J163" i="1"/>
  <c r="J592" i="1" a="1"/>
  <c r="J592" i="1"/>
  <c r="J865" i="1" a="1"/>
  <c r="J865" i="1"/>
  <c r="J742" i="1" a="1"/>
  <c r="J742" i="1"/>
  <c r="J574" i="1" a="1"/>
  <c r="J574" i="1"/>
  <c r="J691" i="1" a="1"/>
  <c r="J691" i="1"/>
  <c r="J493" i="1" a="1"/>
  <c r="J493" i="1"/>
  <c r="J761" i="1" a="1"/>
  <c r="J761" i="1"/>
  <c r="J566" i="1" a="1"/>
  <c r="J566" i="1"/>
  <c r="J983" i="1" a="1"/>
  <c r="J983" i="1"/>
  <c r="J7" i="1" a="1"/>
  <c r="J7" i="1"/>
  <c r="J268" i="1" a="1"/>
  <c r="J268" i="1"/>
  <c r="J828" i="1" a="1"/>
  <c r="J828" i="1"/>
  <c r="J608" i="1" a="1"/>
  <c r="J608" i="1"/>
  <c r="J945" i="1" a="1"/>
  <c r="J945" i="1"/>
  <c r="J935" i="1" a="1"/>
  <c r="J935" i="1"/>
  <c r="J229" i="1" a="1"/>
  <c r="J229" i="1"/>
  <c r="J580" i="1" a="1"/>
  <c r="J580" i="1"/>
  <c r="J22" i="1" a="1"/>
  <c r="J22" i="1"/>
  <c r="J825" i="1" a="1"/>
  <c r="J825" i="1"/>
  <c r="J114" i="1" a="1"/>
  <c r="J114" i="1"/>
  <c r="J310" i="1" a="1"/>
  <c r="J310" i="1"/>
  <c r="J863" i="1" a="1"/>
  <c r="J863" i="1"/>
  <c r="J984" i="1" a="1"/>
  <c r="J984" i="1"/>
  <c r="J202" i="1" a="1"/>
  <c r="J202" i="1"/>
  <c r="J589" i="1" a="1"/>
  <c r="J589" i="1"/>
  <c r="J340" i="1" a="1"/>
  <c r="J340" i="1"/>
  <c r="J326" i="1" a="1"/>
  <c r="J326" i="1"/>
  <c r="J386" i="1" a="1"/>
  <c r="J386" i="1"/>
  <c r="J514" i="1" a="1"/>
  <c r="J514" i="1"/>
  <c r="J757" i="1" a="1"/>
  <c r="J757" i="1"/>
  <c r="J939" i="1" a="1"/>
  <c r="J939" i="1"/>
  <c r="J643" i="1" a="1"/>
  <c r="J643" i="1"/>
  <c r="J329" i="1" a="1"/>
  <c r="J329" i="1"/>
  <c r="J841" i="1" a="1"/>
  <c r="J841" i="1"/>
  <c r="J918" i="1" a="1"/>
  <c r="J918" i="1"/>
  <c r="J445" i="1" a="1"/>
  <c r="J445" i="1"/>
  <c r="J308" i="1" a="1"/>
  <c r="J308" i="1"/>
  <c r="J902" i="1" a="1"/>
  <c r="J902" i="1"/>
  <c r="J195" i="1" a="1"/>
  <c r="J195" i="1"/>
  <c r="J123" i="1" a="1"/>
  <c r="J123" i="1"/>
  <c r="J41" i="1" a="1"/>
  <c r="J41" i="1"/>
  <c r="J936" i="1" a="1"/>
  <c r="J936" i="1"/>
  <c r="J801" i="1" a="1"/>
  <c r="J801" i="1"/>
  <c r="J804" i="1" a="1"/>
  <c r="J804" i="1"/>
  <c r="J212" i="1" a="1"/>
  <c r="J212" i="1"/>
  <c r="J562" i="1" a="1"/>
  <c r="J562" i="1"/>
  <c r="J884" i="1" a="1"/>
  <c r="J884" i="1"/>
  <c r="J648" i="1" a="1"/>
  <c r="J648" i="1"/>
  <c r="J837" i="1" a="1"/>
  <c r="J837" i="1"/>
  <c r="J223" i="1" a="1"/>
  <c r="J223" i="1"/>
  <c r="J424" i="1" a="1"/>
  <c r="J424" i="1"/>
  <c r="J154" i="1" a="1"/>
  <c r="J154" i="1"/>
  <c r="J166" i="1" a="1"/>
  <c r="J166" i="1"/>
  <c r="J140" i="1" a="1"/>
  <c r="J140" i="1"/>
  <c r="J695" i="1" a="1"/>
  <c r="J695" i="1"/>
  <c r="J281" i="1" a="1"/>
  <c r="J281" i="1"/>
  <c r="J467" i="1" a="1"/>
  <c r="J467" i="1"/>
  <c r="J373" i="1" a="1"/>
  <c r="J373" i="1"/>
  <c r="J379" i="1" a="1"/>
  <c r="J379" i="1"/>
  <c r="J571" i="1" a="1"/>
  <c r="J571" i="1"/>
  <c r="J179" i="1" a="1"/>
  <c r="J179" i="1"/>
  <c r="J403" i="1" a="1"/>
  <c r="J403" i="1"/>
  <c r="J559" i="1" a="1"/>
  <c r="J559" i="1"/>
  <c r="J205" i="1" a="1"/>
  <c r="J205" i="1"/>
  <c r="J137" i="1" a="1"/>
  <c r="J137" i="1"/>
  <c r="J926" i="1" a="1"/>
  <c r="J926" i="1"/>
  <c r="J147" i="1" a="1"/>
  <c r="J147" i="1"/>
  <c r="J867" i="1" a="1"/>
  <c r="J867" i="1"/>
  <c r="J729" i="1" a="1"/>
  <c r="J729" i="1"/>
  <c r="J129" i="1" a="1"/>
  <c r="J129" i="1"/>
  <c r="J721" i="1" a="1"/>
  <c r="J721" i="1"/>
  <c r="J624" i="1" a="1"/>
  <c r="J624" i="1"/>
  <c r="J84" i="1" a="1"/>
  <c r="J84" i="1"/>
  <c r="J889" i="1" a="1"/>
  <c r="J889" i="1"/>
  <c r="J788" i="1" a="1"/>
  <c r="J788" i="1"/>
  <c r="J671" i="1" a="1"/>
  <c r="J671" i="1"/>
  <c r="J769" i="1" a="1"/>
  <c r="J769" i="1"/>
  <c r="J235" i="1" a="1"/>
  <c r="J235" i="1"/>
  <c r="J899" i="1" a="1"/>
  <c r="J899" i="1"/>
  <c r="J789" i="1" a="1"/>
  <c r="J789" i="1"/>
  <c r="J998" i="1" a="1"/>
  <c r="J998" i="1"/>
  <c r="J432" i="1" a="1"/>
  <c r="J432" i="1"/>
  <c r="J374" i="1" a="1"/>
  <c r="J374" i="1"/>
  <c r="J37" i="1" a="1"/>
  <c r="J37" i="1"/>
  <c r="J170" i="1" a="1"/>
  <c r="J170" i="1"/>
  <c r="J339" i="1" a="1"/>
  <c r="J339" i="1"/>
  <c r="J581" i="1" a="1"/>
  <c r="J581" i="1"/>
  <c r="J961" i="1" a="1"/>
  <c r="J961" i="1"/>
  <c r="J686" i="1" a="1"/>
  <c r="J686" i="1"/>
  <c r="J583" i="1" a="1"/>
  <c r="J583" i="1"/>
  <c r="J11" i="1" a="1"/>
  <c r="J11" i="1"/>
  <c r="J590" i="1" a="1"/>
  <c r="J590" i="1"/>
  <c r="J17" i="1" a="1"/>
  <c r="J17" i="1"/>
  <c r="J365" i="1" a="1"/>
  <c r="J365" i="1"/>
  <c r="J904" i="1" a="1"/>
  <c r="J904" i="1"/>
  <c r="J39" i="1" a="1"/>
  <c r="J39" i="1"/>
  <c r="J684" i="1" a="1"/>
  <c r="J684" i="1"/>
  <c r="J623" i="1" a="1"/>
  <c r="J623" i="1"/>
  <c r="J128" i="1" a="1"/>
  <c r="J128" i="1"/>
  <c r="J182" i="1" a="1"/>
  <c r="J182" i="1"/>
  <c r="J82" i="1" a="1"/>
  <c r="J82" i="1"/>
  <c r="J736" i="1" a="1"/>
  <c r="J736" i="1"/>
  <c r="F111" i="1"/>
  <c r="E111" i="1"/>
  <c r="E847" i="1"/>
  <c r="E973" i="1"/>
  <c r="E609" i="1"/>
  <c r="E662" i="1"/>
  <c r="E698" i="1"/>
  <c r="E810" i="1"/>
  <c r="E862" i="1"/>
  <c r="E52" i="1"/>
  <c r="E244" i="1"/>
  <c r="E881" i="1"/>
  <c r="E176" i="1"/>
  <c r="E415" i="1"/>
  <c r="E959" i="1"/>
  <c r="E963" i="1"/>
  <c r="E878" i="1"/>
  <c r="E711" i="1"/>
  <c r="E683" i="1"/>
  <c r="E299" i="1"/>
  <c r="E160" i="1"/>
  <c r="E968" i="1"/>
  <c r="E218" i="1"/>
  <c r="E740" i="1"/>
  <c r="E99" i="1"/>
  <c r="E14" i="1"/>
  <c r="E246" i="1"/>
  <c r="E423" i="1"/>
  <c r="E706" i="1"/>
  <c r="E376" i="1"/>
  <c r="E180" i="1"/>
  <c r="E597" i="1"/>
  <c r="E992" i="1"/>
  <c r="E783" i="1"/>
  <c r="E21" i="1"/>
  <c r="E411" i="1"/>
  <c r="E512" i="1"/>
  <c r="E602" i="1"/>
  <c r="E794" i="1"/>
  <c r="E713" i="1"/>
  <c r="E520" i="1"/>
  <c r="E861" i="1"/>
  <c r="E876" i="1"/>
  <c r="E471" i="1"/>
  <c r="E870" i="1"/>
  <c r="E494" i="1"/>
  <c r="E509" i="1"/>
  <c r="E157" i="1"/>
  <c r="E626" i="1"/>
  <c r="E948" i="1"/>
  <c r="E358" i="1"/>
  <c r="E264" i="1"/>
  <c r="E830" i="1"/>
  <c r="E476" i="1"/>
  <c r="E893" i="1"/>
  <c r="E237" i="1"/>
  <c r="E578" i="1"/>
  <c r="E125" i="1"/>
  <c r="E141" i="1"/>
  <c r="E489" i="1"/>
  <c r="E197" i="1"/>
  <c r="E748" i="1"/>
  <c r="E13" i="1"/>
  <c r="E908" i="1"/>
  <c r="E946" i="1"/>
  <c r="E80" i="1"/>
  <c r="E692" i="1"/>
  <c r="E582" i="1"/>
  <c r="E894" i="1"/>
  <c r="E682" i="1"/>
  <c r="E864" i="1"/>
  <c r="E469" i="1"/>
  <c r="E601" i="1"/>
  <c r="E368" i="1"/>
  <c r="E118" i="1"/>
  <c r="E486" i="1"/>
  <c r="E779" i="1"/>
  <c r="E481" i="1"/>
  <c r="E496" i="1"/>
  <c r="E727" i="1"/>
  <c r="E59" i="1"/>
  <c r="E619" i="1"/>
  <c r="E18" i="1"/>
  <c r="E46" i="1"/>
  <c r="E102" i="1"/>
  <c r="E906" i="1"/>
  <c r="E150" i="1"/>
  <c r="E117" i="1"/>
  <c r="E770" i="1"/>
  <c r="E266" i="1"/>
  <c r="E659" i="1"/>
  <c r="E777" i="1"/>
  <c r="E355" i="1"/>
  <c r="E474" i="1"/>
  <c r="E614" i="1"/>
  <c r="E112" i="1"/>
  <c r="E38" i="1"/>
  <c r="E221" i="1"/>
  <c r="E702" i="1"/>
  <c r="E44" i="1"/>
  <c r="E536" i="1"/>
  <c r="E933" i="1"/>
  <c r="E690" i="1"/>
  <c r="E960" i="1"/>
  <c r="E544" i="1"/>
  <c r="E446" i="1"/>
  <c r="E616" i="1"/>
  <c r="E919" i="1"/>
  <c r="E723" i="1"/>
  <c r="E209" i="1"/>
  <c r="E546" i="1"/>
  <c r="E722" i="1"/>
  <c r="E92" i="1"/>
  <c r="E304" i="1"/>
  <c r="E454" i="1"/>
  <c r="E106" i="1"/>
  <c r="E360" i="1"/>
  <c r="E808" i="1"/>
  <c r="E630" i="1"/>
  <c r="E809" i="1"/>
  <c r="E653" i="1"/>
  <c r="E217" i="1"/>
  <c r="E256" i="1"/>
  <c r="E634" i="1"/>
  <c r="E184" i="1"/>
  <c r="E404" i="1"/>
  <c r="E188" i="1"/>
  <c r="E449" i="1"/>
  <c r="E491" i="1"/>
  <c r="E708" i="1"/>
  <c r="E813" i="1"/>
  <c r="E293" i="1"/>
  <c r="E307" i="1"/>
  <c r="E879" i="1"/>
  <c r="E944" i="1"/>
  <c r="E849" i="1"/>
  <c r="E796" i="1"/>
  <c r="E127" i="1"/>
  <c r="E784" i="1"/>
  <c r="E48" i="1"/>
  <c r="E413" i="1"/>
  <c r="E168" i="1"/>
  <c r="E922" i="1"/>
  <c r="E461" i="1"/>
  <c r="E464" i="1"/>
  <c r="E164" i="1"/>
  <c r="E344" i="1"/>
  <c r="E277" i="1"/>
  <c r="E646" i="1"/>
  <c r="E232" i="1"/>
  <c r="E986" i="1"/>
  <c r="E49" i="1"/>
  <c r="E842" i="1"/>
  <c r="E45" i="1"/>
  <c r="E261" i="1"/>
  <c r="E620" i="1"/>
  <c r="E108" i="1"/>
  <c r="E511" i="1"/>
  <c r="E845" i="1"/>
  <c r="E579" i="1"/>
  <c r="E395" i="1"/>
  <c r="E787" i="1"/>
  <c r="E367" i="1"/>
  <c r="E995" i="1"/>
  <c r="E633" i="1"/>
  <c r="E303" i="1"/>
  <c r="E764" i="1"/>
  <c r="E295" i="1"/>
  <c r="E854" i="1"/>
  <c r="E131" i="1"/>
  <c r="E573" i="1"/>
  <c r="E110" i="1"/>
  <c r="E296" i="1"/>
  <c r="E149" i="1"/>
  <c r="E738" i="1"/>
  <c r="E798" i="1"/>
  <c r="E479" i="1"/>
  <c r="E781" i="1"/>
  <c r="E252" i="1"/>
  <c r="E272" i="1"/>
  <c r="E1000" i="1"/>
  <c r="E162" i="1"/>
  <c r="E537" i="1"/>
  <c r="E313" i="1"/>
  <c r="E979" i="1"/>
  <c r="E848" i="1"/>
  <c r="E492" i="1"/>
  <c r="E556" i="1"/>
  <c r="E673" i="1"/>
  <c r="E929" i="1"/>
  <c r="E668" i="1"/>
  <c r="E208" i="1"/>
  <c r="E892" i="1"/>
  <c r="E883" i="1"/>
  <c r="E318" i="1"/>
  <c r="E911" i="1"/>
  <c r="E270" i="1"/>
  <c r="E826" i="1"/>
  <c r="E824" i="1"/>
  <c r="E85" i="1"/>
  <c r="E332" i="1"/>
  <c r="E238" i="1"/>
  <c r="E774" i="1"/>
  <c r="E625" i="1"/>
  <c r="E275" i="1"/>
  <c r="E153" i="1"/>
  <c r="E409" i="1"/>
  <c r="E720" i="1"/>
  <c r="E253" i="1"/>
  <c r="E33" i="1"/>
  <c r="E735" i="1"/>
  <c r="E3" i="1"/>
  <c r="E553" i="1"/>
  <c r="E450" i="1"/>
  <c r="E62" i="1"/>
  <c r="E98" i="1"/>
  <c r="E478" i="1"/>
  <c r="E388" i="1"/>
  <c r="E285" i="1"/>
  <c r="E370" i="1"/>
  <c r="E832" i="1"/>
  <c r="E656" i="1"/>
  <c r="E694" i="1"/>
  <c r="E920" i="1"/>
  <c r="E517" i="1"/>
  <c r="E976" i="1"/>
  <c r="E177" i="1"/>
  <c r="E230" i="1"/>
  <c r="E688" i="1"/>
  <c r="E178" i="1"/>
  <c r="E703" i="1"/>
  <c r="E993" i="1"/>
  <c r="E905" i="1"/>
  <c r="E5" i="1"/>
  <c r="E122" i="1"/>
  <c r="E927" i="1"/>
  <c r="E689" i="1"/>
  <c r="E916" i="1"/>
  <c r="E962" i="1"/>
  <c r="E529" i="1"/>
  <c r="E907" i="1"/>
  <c r="E288" i="1"/>
  <c r="E678" i="1"/>
  <c r="E596" i="1"/>
  <c r="E68" i="1"/>
  <c r="E320" i="1"/>
  <c r="E716" i="1"/>
  <c r="E251" i="1"/>
  <c r="E819" i="1"/>
  <c r="E203" i="1"/>
  <c r="E196" i="1"/>
  <c r="E336" i="1"/>
  <c r="E665" i="1"/>
  <c r="E337" i="1"/>
  <c r="E435" i="1"/>
  <c r="E751" i="1"/>
  <c r="E872" i="1"/>
  <c r="E871" i="1"/>
  <c r="E86" i="1"/>
  <c r="E397" i="1"/>
  <c r="E498" i="1"/>
  <c r="E416" i="1"/>
  <c r="E430" i="1"/>
  <c r="E345" i="1"/>
  <c r="E934" i="1"/>
  <c r="E57" i="1"/>
  <c r="E94" i="1"/>
  <c r="E105" i="1"/>
  <c r="E869" i="1"/>
  <c r="E925" i="1"/>
  <c r="E443" i="1"/>
  <c r="E516" i="1"/>
  <c r="E851" i="1"/>
  <c r="E650" i="1"/>
  <c r="E747" i="1"/>
  <c r="E753" i="1"/>
  <c r="E265" i="1"/>
  <c r="E377" i="1"/>
  <c r="E811" i="1"/>
  <c r="E412" i="1"/>
  <c r="E760" i="1"/>
  <c r="E599" i="1"/>
  <c r="E353" i="1"/>
  <c r="E651" i="1"/>
  <c r="E897" i="1"/>
  <c r="E383" i="1"/>
  <c r="E239" i="1"/>
  <c r="E868" i="1"/>
  <c r="E942" i="1"/>
  <c r="E96" i="1"/>
  <c r="E254" i="1"/>
  <c r="E982" i="1"/>
  <c r="E877" i="1"/>
  <c r="E676" i="1"/>
  <c r="E773" i="1"/>
  <c r="E436" i="1"/>
  <c r="E322" i="1"/>
  <c r="E325" i="1"/>
  <c r="E718" i="1"/>
  <c r="E444" i="1"/>
  <c r="E928" i="1"/>
  <c r="E776" i="1"/>
  <c r="E468" i="1"/>
  <c r="E997" i="1"/>
  <c r="E458" i="1"/>
  <c r="E631" i="1"/>
  <c r="E366" i="1"/>
  <c r="E586" i="1"/>
  <c r="E414" i="1"/>
  <c r="E27" i="1"/>
  <c r="E226" i="1"/>
  <c r="E83" i="1"/>
  <c r="E316" i="1"/>
  <c r="E792" i="1"/>
  <c r="E750" i="1"/>
  <c r="E575" i="1"/>
  <c r="E710" i="1"/>
  <c r="E932" i="1"/>
  <c r="E191" i="1"/>
  <c r="E248" i="1"/>
  <c r="E924" i="1"/>
  <c r="E550" i="1"/>
  <c r="E930" i="1"/>
  <c r="E941" i="1"/>
  <c r="E183" i="1"/>
  <c r="E327" i="1"/>
  <c r="E302" i="1"/>
  <c r="E271" i="1"/>
  <c r="E791" i="1"/>
  <c r="E931" i="1"/>
  <c r="E292" i="1"/>
  <c r="E891" i="1"/>
  <c r="E755" i="1"/>
  <c r="E909" i="1"/>
  <c r="E169" i="1"/>
  <c r="E917" i="1"/>
  <c r="E55" i="1"/>
  <c r="E679" i="1"/>
  <c r="E441" i="1"/>
  <c r="E836" i="1"/>
  <c r="E206" i="1"/>
  <c r="E657" i="1"/>
  <c r="E193" i="1"/>
  <c r="E171" i="1"/>
  <c r="E954" i="1"/>
  <c r="E136" i="1"/>
  <c r="E888" i="1"/>
  <c r="E422" i="1"/>
  <c r="E89" i="1"/>
  <c r="E187" i="1"/>
  <c r="E211" i="1"/>
  <c r="E280" i="1"/>
  <c r="E543" i="1"/>
  <c r="E637" i="1"/>
  <c r="E732" i="1"/>
  <c r="E63" i="1"/>
  <c r="E547" i="1"/>
  <c r="E674" i="1"/>
  <c r="E629" i="1"/>
  <c r="E453" i="1"/>
  <c r="E818" i="1"/>
  <c r="E60" i="1"/>
  <c r="E104" i="1"/>
  <c r="E568" i="1"/>
  <c r="E361" i="1"/>
  <c r="E545" i="1"/>
  <c r="E901" i="1"/>
  <c r="E989" i="1"/>
  <c r="E359" i="1"/>
  <c r="E134" i="1"/>
  <c r="E215" i="1"/>
  <c r="E866" i="1"/>
  <c r="E903" i="1"/>
  <c r="E260" i="1"/>
  <c r="E714" i="1"/>
  <c r="E297" i="1"/>
  <c r="E621" i="1"/>
  <c r="E817" i="1"/>
  <c r="E505" i="1"/>
  <c r="E912" i="1"/>
  <c r="E658" i="1"/>
  <c r="E482" i="1"/>
  <c r="E588" i="1"/>
  <c r="E790" i="1"/>
  <c r="E387" i="1"/>
  <c r="E247" i="1"/>
  <c r="E12" i="1"/>
  <c r="E565" i="1"/>
  <c r="E145" i="1"/>
  <c r="E93" i="1"/>
  <c r="E276" i="1"/>
  <c r="E990" i="1"/>
  <c r="E71" i="1"/>
  <c r="E233" i="1"/>
  <c r="E569" i="1"/>
  <c r="E76" i="1"/>
  <c r="E858" i="1"/>
  <c r="E816" i="1"/>
  <c r="E627" i="1"/>
  <c r="E838" i="1"/>
  <c r="E855" i="1"/>
  <c r="E228" i="1"/>
  <c r="E793" i="1"/>
  <c r="E612" i="1"/>
  <c r="E591" i="1"/>
  <c r="E158" i="1"/>
  <c r="E728" i="1"/>
  <c r="E510" i="1"/>
  <c r="E731" i="1"/>
  <c r="E42" i="1"/>
  <c r="E121" i="1"/>
  <c r="E622" i="1"/>
  <c r="E301" i="1"/>
  <c r="E312" i="1"/>
  <c r="E644" i="1"/>
  <c r="E937" i="1"/>
  <c r="E873" i="1"/>
  <c r="E120" i="1"/>
  <c r="E410" i="1"/>
  <c r="E605" i="1"/>
  <c r="E950" i="1"/>
  <c r="E996" i="1"/>
  <c r="E525" i="1"/>
  <c r="E820" i="1"/>
  <c r="E113" i="1"/>
  <c r="E632" i="1"/>
  <c r="E782" i="1"/>
  <c r="E384" i="1"/>
  <c r="E236" i="1"/>
  <c r="E9" i="1"/>
  <c r="E405" i="1"/>
  <c r="E216" i="1"/>
  <c r="E988" i="1"/>
  <c r="E846" i="1"/>
  <c r="E898" i="1"/>
  <c r="E34" i="1"/>
  <c r="E803" i="1"/>
  <c r="E245" i="1"/>
  <c r="E958" i="1"/>
  <c r="E480" i="1"/>
  <c r="E186" i="1"/>
  <c r="E234" i="1"/>
  <c r="E805" i="1"/>
  <c r="E399" i="1"/>
  <c r="E822" i="1"/>
  <c r="E951" i="1"/>
  <c r="E557" i="1"/>
  <c r="E488" i="1"/>
  <c r="E953" i="1"/>
  <c r="E495" i="1"/>
  <c r="E725" i="1"/>
  <c r="E47" i="1"/>
  <c r="E649" i="1"/>
  <c r="E72" i="1"/>
  <c r="E860" i="1"/>
  <c r="E497" i="1"/>
  <c r="E219" i="1"/>
  <c r="E434" i="1"/>
  <c r="E138" i="1"/>
  <c r="E795" i="1"/>
  <c r="E677" i="1"/>
  <c r="E780" i="1"/>
  <c r="E765" i="1"/>
  <c r="E428" i="1"/>
  <c r="E974" i="1"/>
  <c r="E762" i="1"/>
  <c r="E524" i="1"/>
  <c r="E429" i="1"/>
  <c r="E64" i="1"/>
  <c r="E652" i="1"/>
  <c r="E618" i="1"/>
  <c r="E785" i="1"/>
  <c r="E16" i="1"/>
  <c r="E850" i="1"/>
  <c r="E465" i="1"/>
  <c r="E956" i="1"/>
  <c r="E342" i="1"/>
  <c r="E700" i="1"/>
  <c r="E733" i="1"/>
  <c r="E356" i="1"/>
  <c r="E503" i="1"/>
  <c r="E560" i="1"/>
  <c r="E693" i="1"/>
  <c r="E697" i="1"/>
  <c r="E975" i="1"/>
  <c r="E88" i="1"/>
  <c r="E746" i="1"/>
  <c r="E447" i="1"/>
  <c r="E531" i="1"/>
  <c r="E598" i="1"/>
  <c r="E913" i="1"/>
  <c r="E594" i="1"/>
  <c r="E502" i="1"/>
  <c r="E109" i="1"/>
  <c r="E291" i="1"/>
  <c r="E451" i="1"/>
  <c r="E51" i="1"/>
  <c r="E262" i="1"/>
  <c r="E528" i="1"/>
  <c r="E966" i="1"/>
  <c r="E839" i="1"/>
  <c r="E636" i="1"/>
  <c r="E763" i="1"/>
  <c r="E189" i="1"/>
  <c r="E628" i="1"/>
  <c r="E957" i="1"/>
  <c r="E853" i="1"/>
  <c r="E165" i="1"/>
  <c r="E393" i="1"/>
  <c r="E508" i="1"/>
  <c r="E549" i="1"/>
  <c r="E391" i="1"/>
  <c r="E151" i="1"/>
  <c r="E290" i="1"/>
  <c r="E840" i="1"/>
  <c r="E460" i="1"/>
  <c r="E198" i="1"/>
  <c r="E752" i="1"/>
  <c r="E641" i="1"/>
  <c r="E949" i="1"/>
  <c r="E6" i="1"/>
  <c r="E389" i="1"/>
  <c r="E999" i="1"/>
  <c r="E282" i="1"/>
  <c r="E259" i="1"/>
  <c r="E40" i="1"/>
  <c r="E61" i="1"/>
  <c r="E741" i="1"/>
  <c r="E487" i="1"/>
  <c r="E398" i="1"/>
  <c r="E915" i="1"/>
  <c r="E74" i="1"/>
  <c r="E526" i="1"/>
  <c r="E132" i="1"/>
  <c r="E548" i="1"/>
  <c r="E77" i="1"/>
  <c r="E829" i="1"/>
  <c r="E570" i="1"/>
  <c r="E298" i="1"/>
  <c r="E555" i="1"/>
  <c r="E69" i="1"/>
  <c r="E431" i="1"/>
  <c r="E534" i="1"/>
  <c r="E442" i="1"/>
  <c r="E26" i="1"/>
  <c r="E576" i="1"/>
  <c r="E231" i="1"/>
  <c r="E821" i="1"/>
  <c r="E744" i="1"/>
  <c r="E418" i="1"/>
  <c r="E73" i="1"/>
  <c r="E472" i="1"/>
  <c r="E53" i="1"/>
  <c r="E768" i="1"/>
  <c r="E142" i="1"/>
  <c r="E207" i="1"/>
  <c r="E567" i="1"/>
  <c r="E440" i="1"/>
  <c r="E242" i="1"/>
  <c r="E1001" i="1"/>
  <c r="E563" i="1"/>
  <c r="E584" i="1"/>
  <c r="E726" i="1"/>
  <c r="E400" i="1"/>
  <c r="E192" i="1"/>
  <c r="E152" i="1"/>
  <c r="E90" i="1"/>
  <c r="E539" i="1"/>
  <c r="E348" i="1"/>
  <c r="E380" i="1"/>
  <c r="E381" i="1"/>
  <c r="E56" i="1"/>
  <c r="E717" i="1"/>
  <c r="E289" i="1"/>
  <c r="E334" i="1"/>
  <c r="E771" i="1"/>
  <c r="E87" i="1"/>
  <c r="E885" i="1"/>
  <c r="E587" i="1"/>
  <c r="E287" i="1"/>
  <c r="E78" i="1"/>
  <c r="E119" i="1"/>
  <c r="E139" i="1"/>
  <c r="E523" i="1"/>
  <c r="E875" i="1"/>
  <c r="E681" i="1"/>
  <c r="E58" i="1"/>
  <c r="E554" i="1"/>
  <c r="E696" i="1"/>
  <c r="E739" i="1"/>
  <c r="E807" i="1"/>
  <c r="E972" i="1"/>
  <c r="E947" i="1"/>
  <c r="E661" i="1"/>
  <c r="E333" i="1"/>
  <c r="E148" i="1"/>
  <c r="E900" i="1"/>
  <c r="E363" i="1"/>
  <c r="E425" i="1"/>
  <c r="E124" i="1"/>
  <c r="E199" i="1"/>
  <c r="E743" i="1"/>
  <c r="E28" i="1"/>
  <c r="E463" i="1"/>
  <c r="E306" i="1"/>
  <c r="E448" i="1"/>
  <c r="E667" i="1"/>
  <c r="E806" i="1"/>
  <c r="E91" i="1"/>
  <c r="E36" i="1"/>
  <c r="E994" i="1"/>
  <c r="E856" i="1"/>
  <c r="E407" i="1"/>
  <c r="E704" i="1"/>
  <c r="E766" i="1"/>
  <c r="E23" i="1"/>
  <c r="E284" i="1"/>
  <c r="E351" i="1"/>
  <c r="E943" i="1"/>
  <c r="E222" i="1"/>
  <c r="E647" i="1"/>
  <c r="E831" i="1"/>
  <c r="E362" i="1"/>
  <c r="E815" i="1"/>
  <c r="E352" i="1"/>
  <c r="E70" i="1"/>
  <c r="E274" i="1"/>
  <c r="E220" i="1"/>
  <c r="E172" i="1"/>
  <c r="E541" i="1"/>
  <c r="E382" i="1"/>
  <c r="E144" i="1"/>
  <c r="E300" i="1"/>
  <c r="E406" i="1"/>
  <c r="E241" i="1"/>
  <c r="E378" i="1"/>
  <c r="E786" i="1"/>
  <c r="E331" i="1"/>
  <c r="E372" i="1"/>
  <c r="E638" i="1"/>
  <c r="E654" i="1"/>
  <c r="E115" i="1"/>
  <c r="E604" i="1"/>
  <c r="E283" i="1"/>
  <c r="E321" i="1"/>
  <c r="E130" i="1"/>
  <c r="E675" i="1"/>
  <c r="E607" i="1"/>
  <c r="E385" i="1"/>
  <c r="E895" i="1"/>
  <c r="E2" i="1"/>
  <c r="E585" i="1"/>
  <c r="E680" i="1"/>
  <c r="E610" i="1"/>
  <c r="E522" i="1"/>
  <c r="E540" i="1"/>
  <c r="E255" i="1"/>
  <c r="E890" i="1"/>
  <c r="E812" i="1"/>
  <c r="E802" i="1"/>
  <c r="E685" i="1"/>
  <c r="E462" i="1"/>
  <c r="E29" i="1"/>
  <c r="E800" i="1"/>
  <c r="E10" i="1"/>
  <c r="E715" i="1"/>
  <c r="E921" i="1"/>
  <c r="E427" i="1"/>
  <c r="E433" i="1"/>
  <c r="E530" i="1"/>
  <c r="E249" i="1"/>
  <c r="E346" i="1"/>
  <c r="E426" i="1"/>
  <c r="E923" i="1"/>
  <c r="E730" i="1"/>
  <c r="E419" i="1"/>
  <c r="E457" i="1"/>
  <c r="E185" i="1"/>
  <c r="E24" i="1"/>
  <c r="E978" i="1"/>
  <c r="E200" i="1"/>
  <c r="E473" i="1"/>
  <c r="E328" i="1"/>
  <c r="E991" i="1"/>
  <c r="E500" i="1"/>
  <c r="E572" i="1"/>
  <c r="E459" i="1"/>
  <c r="E421" i="1"/>
  <c r="E257" i="1"/>
  <c r="E243" i="1"/>
  <c r="E159" i="1"/>
  <c r="E705" i="1"/>
  <c r="E315" i="1"/>
  <c r="E707" i="1"/>
  <c r="E611" i="1"/>
  <c r="E392" i="1"/>
  <c r="E319" i="1"/>
  <c r="E965" i="1"/>
  <c r="E456" i="1"/>
  <c r="E521" i="1"/>
  <c r="E65" i="1"/>
  <c r="E50" i="1"/>
  <c r="E438" i="1"/>
  <c r="E775" i="1"/>
  <c r="E343" i="1"/>
  <c r="E823" i="1"/>
  <c r="E133" i="1"/>
  <c r="E267" i="1"/>
  <c r="E969" i="1"/>
  <c r="E455" i="1"/>
  <c r="E175" i="1"/>
  <c r="E214" i="1"/>
  <c r="E75" i="1"/>
  <c r="E970" i="1"/>
  <c r="E886" i="1"/>
  <c r="E107" i="1"/>
  <c r="E402" i="1"/>
  <c r="E814" i="1"/>
  <c r="E354" i="1"/>
  <c r="E759" i="1"/>
  <c r="E940" i="1"/>
  <c r="E635" i="1"/>
  <c r="E475" i="1"/>
  <c r="E532" i="1"/>
  <c r="E719" i="1"/>
  <c r="E364" i="1"/>
  <c r="E533" i="1"/>
  <c r="E519" i="1"/>
  <c r="E470" i="1"/>
  <c r="E600" i="1"/>
  <c r="E420" i="1"/>
  <c r="E642" i="1"/>
  <c r="E887" i="1"/>
  <c r="E341" i="1"/>
  <c r="E980" i="1"/>
  <c r="E250" i="1"/>
  <c r="E938" i="1"/>
  <c r="E504" i="1"/>
  <c r="E699" i="1"/>
  <c r="E100" i="1"/>
  <c r="E914" i="1"/>
  <c r="E97" i="1"/>
  <c r="E955" i="1"/>
  <c r="E964" i="1"/>
  <c r="E655" i="1"/>
  <c r="E734" i="1"/>
  <c r="E977" i="1"/>
  <c r="E135" i="1"/>
  <c r="E799" i="1"/>
  <c r="E672" i="1"/>
  <c r="E827" i="1"/>
  <c r="E338" i="1"/>
  <c r="E67" i="1"/>
  <c r="E844" i="1"/>
  <c r="E213" i="1"/>
  <c r="E709" i="1"/>
  <c r="E347" i="1"/>
  <c r="E20" i="1"/>
  <c r="E640" i="1"/>
  <c r="E484" i="1"/>
  <c r="E772" i="1"/>
  <c r="E155" i="1"/>
  <c r="E156" i="1"/>
  <c r="E843" i="1"/>
  <c r="E778" i="1"/>
  <c r="E551" i="1"/>
  <c r="E852" i="1"/>
  <c r="E194" i="1"/>
  <c r="E971" i="1"/>
  <c r="E552" i="1"/>
  <c r="E201" i="1"/>
  <c r="E54" i="1"/>
  <c r="E477" i="1"/>
  <c r="E452" i="1"/>
  <c r="E737" i="1"/>
  <c r="E896" i="1"/>
  <c r="E173" i="1"/>
  <c r="E31" i="1"/>
  <c r="E126" i="1"/>
  <c r="E664" i="1"/>
  <c r="E859" i="1"/>
  <c r="E25" i="1"/>
  <c r="E564" i="1"/>
  <c r="E43" i="1"/>
  <c r="E161" i="1"/>
  <c r="E835" i="1"/>
  <c r="E210" i="1"/>
  <c r="E952" i="1"/>
  <c r="E506" i="1"/>
  <c r="E269" i="1"/>
  <c r="E401" i="1"/>
  <c r="E81" i="1"/>
  <c r="E483" i="1"/>
  <c r="E910" i="1"/>
  <c r="E294" i="1"/>
  <c r="E101" i="1"/>
  <c r="E513" i="1"/>
  <c r="E985" i="1"/>
  <c r="E417" i="1"/>
  <c r="E311" i="1"/>
  <c r="E857" i="1"/>
  <c r="E396" i="1"/>
  <c r="E490" i="1"/>
  <c r="E116" i="1"/>
  <c r="E357" i="1"/>
  <c r="E8" i="1"/>
  <c r="E797" i="1"/>
  <c r="E394" i="1"/>
  <c r="E767" i="1"/>
  <c r="E279" i="1"/>
  <c r="E95" i="1"/>
  <c r="E613" i="1"/>
  <c r="E143" i="1"/>
  <c r="E258" i="1"/>
  <c r="E323" i="1"/>
  <c r="E349" i="1"/>
  <c r="E390" i="1"/>
  <c r="E174" i="1"/>
  <c r="E617" i="1"/>
  <c r="E538" i="1"/>
  <c r="E660" i="1"/>
  <c r="E880" i="1"/>
  <c r="E595" i="1"/>
  <c r="E371" i="1"/>
  <c r="E663" i="1"/>
  <c r="E350" i="1"/>
  <c r="E204" i="1"/>
  <c r="E146" i="1"/>
  <c r="E66" i="1"/>
  <c r="E466" i="1"/>
  <c r="E518" i="1"/>
  <c r="E967" i="1"/>
  <c r="E305" i="1"/>
  <c r="E535" i="1"/>
  <c r="E758" i="1"/>
  <c r="E317" i="1"/>
  <c r="E724" i="1"/>
  <c r="E499" i="1"/>
  <c r="E639" i="1"/>
  <c r="E515" i="1"/>
  <c r="E593" i="1"/>
  <c r="E167" i="1"/>
  <c r="E15" i="1"/>
  <c r="E606" i="1"/>
  <c r="E225" i="1"/>
  <c r="E987" i="1"/>
  <c r="E286" i="1"/>
  <c r="E754" i="1"/>
  <c r="E882" i="1"/>
  <c r="E669" i="1"/>
  <c r="E437" i="1"/>
  <c r="E314" i="1"/>
  <c r="E224" i="1"/>
  <c r="E670" i="1"/>
  <c r="E35" i="1"/>
  <c r="E330" i="1"/>
  <c r="E103" i="1"/>
  <c r="E4" i="1"/>
  <c r="E309" i="1"/>
  <c r="E375" i="1"/>
  <c r="E981" i="1"/>
  <c r="E874" i="1"/>
  <c r="E577" i="1"/>
  <c r="E701" i="1"/>
  <c r="E439" i="1"/>
  <c r="E30" i="1"/>
  <c r="E666" i="1"/>
  <c r="E561" i="1"/>
  <c r="E79" i="1"/>
  <c r="E190" i="1"/>
  <c r="E485" i="1"/>
  <c r="E335" i="1"/>
  <c r="E227" i="1"/>
  <c r="E273" i="1"/>
  <c r="E507" i="1"/>
  <c r="E408" i="1"/>
  <c r="E240" i="1"/>
  <c r="E527" i="1"/>
  <c r="E501" i="1"/>
  <c r="E19" i="1"/>
  <c r="E369" i="1"/>
  <c r="E615" i="1"/>
  <c r="E558" i="1"/>
  <c r="E645" i="1"/>
  <c r="E687" i="1"/>
  <c r="E833" i="1"/>
  <c r="E745" i="1"/>
  <c r="E542" i="1"/>
  <c r="E834" i="1"/>
  <c r="E263" i="1"/>
  <c r="E32" i="1"/>
  <c r="E756" i="1"/>
  <c r="E749" i="1"/>
  <c r="E712" i="1"/>
  <c r="E324" i="1"/>
  <c r="E603" i="1"/>
  <c r="E181" i="1"/>
  <c r="E278" i="1"/>
  <c r="E163" i="1"/>
  <c r="E592" i="1"/>
  <c r="E865" i="1"/>
  <c r="E742" i="1"/>
  <c r="E574" i="1"/>
  <c r="E691" i="1"/>
  <c r="E493" i="1"/>
  <c r="E761" i="1"/>
  <c r="E566" i="1"/>
  <c r="E983" i="1"/>
  <c r="E7" i="1"/>
  <c r="E268" i="1"/>
  <c r="E828" i="1"/>
  <c r="E608" i="1"/>
  <c r="E945" i="1"/>
  <c r="E935" i="1"/>
  <c r="E229" i="1"/>
  <c r="E580" i="1"/>
  <c r="E22" i="1"/>
  <c r="E825" i="1"/>
  <c r="E114" i="1"/>
  <c r="E310" i="1"/>
  <c r="E863" i="1"/>
  <c r="E984" i="1"/>
  <c r="E202" i="1"/>
  <c r="E589" i="1"/>
  <c r="E340" i="1"/>
  <c r="E326" i="1"/>
  <c r="E386" i="1"/>
  <c r="E514" i="1"/>
  <c r="E757" i="1"/>
  <c r="E939" i="1"/>
  <c r="E643" i="1"/>
  <c r="E329" i="1"/>
  <c r="E841" i="1"/>
  <c r="E918" i="1"/>
  <c r="E445" i="1"/>
  <c r="E308" i="1"/>
  <c r="E902" i="1"/>
  <c r="E195" i="1"/>
  <c r="E123" i="1"/>
  <c r="E41" i="1"/>
  <c r="E936" i="1"/>
  <c r="E801" i="1"/>
  <c r="E804" i="1"/>
  <c r="E212" i="1"/>
  <c r="E562" i="1"/>
  <c r="E884" i="1"/>
  <c r="E648" i="1"/>
  <c r="E837" i="1"/>
  <c r="E223" i="1"/>
  <c r="E424" i="1"/>
  <c r="E154" i="1"/>
  <c r="E166" i="1"/>
  <c r="E140" i="1"/>
  <c r="E695" i="1"/>
  <c r="E281" i="1"/>
  <c r="E467" i="1"/>
  <c r="E373" i="1"/>
  <c r="E379" i="1"/>
  <c r="E571" i="1"/>
  <c r="E179" i="1"/>
  <c r="E403" i="1"/>
  <c r="E559" i="1"/>
  <c r="E205" i="1"/>
  <c r="E137" i="1"/>
  <c r="E926" i="1"/>
  <c r="E147" i="1"/>
  <c r="E867" i="1"/>
  <c r="E729" i="1"/>
  <c r="E129" i="1"/>
  <c r="E721" i="1"/>
  <c r="E624" i="1"/>
  <c r="E84" i="1"/>
  <c r="E889" i="1"/>
  <c r="E788" i="1"/>
  <c r="E671" i="1"/>
  <c r="E769" i="1"/>
  <c r="E235" i="1"/>
  <c r="E899" i="1"/>
  <c r="E789" i="1"/>
  <c r="E998" i="1"/>
  <c r="E432" i="1"/>
  <c r="E374" i="1"/>
  <c r="E37" i="1"/>
  <c r="E170" i="1"/>
  <c r="E339" i="1"/>
  <c r="E581" i="1"/>
  <c r="E961" i="1"/>
  <c r="E686" i="1"/>
  <c r="E583" i="1"/>
  <c r="E11" i="1"/>
  <c r="E590" i="1"/>
  <c r="E17" i="1"/>
  <c r="E365" i="1"/>
  <c r="E904" i="1"/>
  <c r="E39" i="1"/>
  <c r="E684" i="1"/>
  <c r="E623" i="1"/>
  <c r="E128" i="1"/>
  <c r="E182" i="1"/>
  <c r="E82" i="1"/>
  <c r="E736" i="1"/>
  <c r="F847" i="1"/>
  <c r="F973" i="1"/>
  <c r="F609" i="1"/>
  <c r="F662" i="1"/>
  <c r="F698" i="1"/>
  <c r="F810" i="1"/>
  <c r="F862" i="1"/>
  <c r="F52" i="1"/>
  <c r="F244" i="1"/>
  <c r="F881" i="1"/>
  <c r="F176" i="1"/>
  <c r="F415" i="1"/>
  <c r="F959" i="1"/>
  <c r="F963" i="1"/>
  <c r="F878" i="1"/>
  <c r="F711" i="1"/>
  <c r="F683" i="1"/>
  <c r="F299" i="1"/>
  <c r="F160" i="1"/>
  <c r="F968" i="1"/>
  <c r="F218" i="1"/>
  <c r="F740" i="1"/>
  <c r="F99" i="1"/>
  <c r="F14" i="1"/>
  <c r="F246" i="1"/>
  <c r="F423" i="1"/>
  <c r="F706" i="1"/>
  <c r="F376" i="1"/>
  <c r="F180" i="1"/>
  <c r="F597" i="1"/>
  <c r="F992" i="1"/>
  <c r="F783" i="1"/>
  <c r="F21" i="1"/>
  <c r="F411" i="1"/>
  <c r="F512" i="1"/>
  <c r="F602" i="1"/>
  <c r="F794" i="1"/>
  <c r="F713" i="1"/>
  <c r="F520" i="1"/>
  <c r="F861" i="1"/>
  <c r="F876" i="1"/>
  <c r="F471" i="1"/>
  <c r="F870" i="1"/>
  <c r="F494" i="1"/>
  <c r="F509" i="1"/>
  <c r="F157" i="1"/>
  <c r="F626" i="1"/>
  <c r="F948" i="1"/>
  <c r="F358" i="1"/>
  <c r="F264" i="1"/>
  <c r="F830" i="1"/>
  <c r="F476" i="1"/>
  <c r="F893" i="1"/>
  <c r="F237" i="1"/>
  <c r="F578" i="1"/>
  <c r="F125" i="1"/>
  <c r="F141" i="1"/>
  <c r="F489" i="1"/>
  <c r="F197" i="1"/>
  <c r="F748" i="1"/>
  <c r="F13" i="1"/>
  <c r="F908" i="1"/>
  <c r="F946" i="1"/>
  <c r="F80" i="1"/>
  <c r="F692" i="1"/>
  <c r="F582" i="1"/>
  <c r="F894" i="1"/>
  <c r="F682" i="1"/>
  <c r="F864" i="1"/>
  <c r="F469" i="1"/>
  <c r="F601" i="1"/>
  <c r="F368" i="1"/>
  <c r="F118" i="1"/>
  <c r="F486" i="1"/>
  <c r="F779" i="1"/>
  <c r="F481" i="1"/>
  <c r="F496" i="1"/>
  <c r="F727" i="1"/>
  <c r="F59" i="1"/>
  <c r="F619" i="1"/>
  <c r="F18" i="1"/>
  <c r="F46" i="1"/>
  <c r="F102" i="1"/>
  <c r="F906" i="1"/>
  <c r="F150" i="1"/>
  <c r="F117" i="1"/>
  <c r="F770" i="1"/>
  <c r="F266" i="1"/>
  <c r="F659" i="1"/>
  <c r="F777" i="1"/>
  <c r="F355" i="1"/>
  <c r="F474" i="1"/>
  <c r="F614" i="1"/>
  <c r="F112" i="1"/>
  <c r="F38" i="1"/>
  <c r="F221" i="1"/>
  <c r="F702" i="1"/>
  <c r="F44" i="1"/>
  <c r="F536" i="1"/>
  <c r="F933" i="1"/>
  <c r="F690" i="1"/>
  <c r="F960" i="1"/>
  <c r="F544" i="1"/>
  <c r="F446" i="1"/>
  <c r="F616" i="1"/>
  <c r="F919" i="1"/>
  <c r="F723" i="1"/>
  <c r="F209" i="1"/>
  <c r="F546" i="1"/>
  <c r="F722" i="1"/>
  <c r="F92" i="1"/>
  <c r="F304" i="1"/>
  <c r="F454" i="1"/>
  <c r="F106" i="1"/>
  <c r="F360" i="1"/>
  <c r="F808" i="1"/>
  <c r="F630" i="1"/>
  <c r="F809" i="1"/>
  <c r="F653" i="1"/>
  <c r="F217" i="1"/>
  <c r="F256" i="1"/>
  <c r="F634" i="1"/>
  <c r="F184" i="1"/>
  <c r="F404" i="1"/>
  <c r="F188" i="1"/>
  <c r="F449" i="1"/>
  <c r="F491" i="1"/>
  <c r="F708" i="1"/>
  <c r="F813" i="1"/>
  <c r="F293" i="1"/>
  <c r="F307" i="1"/>
  <c r="F879" i="1"/>
  <c r="F944" i="1"/>
  <c r="F849" i="1"/>
  <c r="F796" i="1"/>
  <c r="F127" i="1"/>
  <c r="F784" i="1"/>
  <c r="F48" i="1"/>
  <c r="F413" i="1"/>
  <c r="F168" i="1"/>
  <c r="F922" i="1"/>
  <c r="F461" i="1"/>
  <c r="F464" i="1"/>
  <c r="F164" i="1"/>
  <c r="F344" i="1"/>
  <c r="F277" i="1"/>
  <c r="F646" i="1"/>
  <c r="F232" i="1"/>
  <c r="F986" i="1"/>
  <c r="F49" i="1"/>
  <c r="F842" i="1"/>
  <c r="F45" i="1"/>
  <c r="F261" i="1"/>
  <c r="F620" i="1"/>
  <c r="F108" i="1"/>
  <c r="F511" i="1"/>
  <c r="F845" i="1"/>
  <c r="F579" i="1"/>
  <c r="F395" i="1"/>
  <c r="F787" i="1"/>
  <c r="F367" i="1"/>
  <c r="F995" i="1"/>
  <c r="F633" i="1"/>
  <c r="F303" i="1"/>
  <c r="F764" i="1"/>
  <c r="F295" i="1"/>
  <c r="F854" i="1"/>
  <c r="F131" i="1"/>
  <c r="F573" i="1"/>
  <c r="F110" i="1"/>
  <c r="F296" i="1"/>
  <c r="F149" i="1"/>
  <c r="F738" i="1"/>
  <c r="F798" i="1"/>
  <c r="F479" i="1"/>
  <c r="F781" i="1"/>
  <c r="F252" i="1"/>
  <c r="F272" i="1"/>
  <c r="F1000" i="1"/>
  <c r="F162" i="1"/>
  <c r="F537" i="1"/>
  <c r="F313" i="1"/>
  <c r="F979" i="1"/>
  <c r="F848" i="1"/>
  <c r="F492" i="1"/>
  <c r="F556" i="1"/>
  <c r="F673" i="1"/>
  <c r="F929" i="1"/>
  <c r="F668" i="1"/>
  <c r="F208" i="1"/>
  <c r="F892" i="1"/>
  <c r="F883" i="1"/>
  <c r="F318" i="1"/>
  <c r="F911" i="1"/>
  <c r="F270" i="1"/>
  <c r="F826" i="1"/>
  <c r="F824" i="1"/>
  <c r="F85" i="1"/>
  <c r="F332" i="1"/>
  <c r="F238" i="1"/>
  <c r="F774" i="1"/>
  <c r="F625" i="1"/>
  <c r="F275" i="1"/>
  <c r="F153" i="1"/>
  <c r="F409" i="1"/>
  <c r="F720" i="1"/>
  <c r="F253" i="1"/>
  <c r="F33" i="1"/>
  <c r="F735" i="1"/>
  <c r="F3" i="1"/>
  <c r="F553" i="1"/>
  <c r="F450" i="1"/>
  <c r="F62" i="1"/>
  <c r="F98" i="1"/>
  <c r="F478" i="1"/>
  <c r="F388" i="1"/>
  <c r="F285" i="1"/>
  <c r="F370" i="1"/>
  <c r="F832" i="1"/>
  <c r="F656" i="1"/>
  <c r="F694" i="1"/>
  <c r="F920" i="1"/>
  <c r="F517" i="1"/>
  <c r="F976" i="1"/>
  <c r="F177" i="1"/>
  <c r="F230" i="1"/>
  <c r="F688" i="1"/>
  <c r="F178" i="1"/>
  <c r="F703" i="1"/>
  <c r="F993" i="1"/>
  <c r="F905" i="1"/>
  <c r="F5" i="1"/>
  <c r="F122" i="1"/>
  <c r="F927" i="1"/>
  <c r="F689" i="1"/>
  <c r="F916" i="1"/>
  <c r="F962" i="1"/>
  <c r="F529" i="1"/>
  <c r="F907" i="1"/>
  <c r="F288" i="1"/>
  <c r="F678" i="1"/>
  <c r="F596" i="1"/>
  <c r="F68" i="1"/>
  <c r="F320" i="1"/>
  <c r="F716" i="1"/>
  <c r="F251" i="1"/>
  <c r="F819" i="1"/>
  <c r="F203" i="1"/>
  <c r="F196" i="1"/>
  <c r="F336" i="1"/>
  <c r="F665" i="1"/>
  <c r="F337" i="1"/>
  <c r="F435" i="1"/>
  <c r="F751" i="1"/>
  <c r="F872" i="1"/>
  <c r="F871" i="1"/>
  <c r="F86" i="1"/>
  <c r="F397" i="1"/>
  <c r="F498" i="1"/>
  <c r="F416" i="1"/>
  <c r="F430" i="1"/>
  <c r="F345" i="1"/>
  <c r="F934" i="1"/>
  <c r="F57" i="1"/>
  <c r="F94" i="1"/>
  <c r="F105" i="1"/>
  <c r="F869" i="1"/>
  <c r="F925" i="1"/>
  <c r="F443" i="1"/>
  <c r="F516" i="1"/>
  <c r="F851" i="1"/>
  <c r="F650" i="1"/>
  <c r="F747" i="1"/>
  <c r="F753" i="1"/>
  <c r="F265" i="1"/>
  <c r="F377" i="1"/>
  <c r="F811" i="1"/>
  <c r="F412" i="1"/>
  <c r="F760" i="1"/>
  <c r="F599" i="1"/>
  <c r="F353" i="1"/>
  <c r="F651" i="1"/>
  <c r="F897" i="1"/>
  <c r="F383" i="1"/>
  <c r="F239" i="1"/>
  <c r="F868" i="1"/>
  <c r="F942" i="1"/>
  <c r="F96" i="1"/>
  <c r="F254" i="1"/>
  <c r="F982" i="1"/>
  <c r="F877" i="1"/>
  <c r="F676" i="1"/>
  <c r="F773" i="1"/>
  <c r="F436" i="1"/>
  <c r="F322" i="1"/>
  <c r="F325" i="1"/>
  <c r="F718" i="1"/>
  <c r="F444" i="1"/>
  <c r="F928" i="1"/>
  <c r="F776" i="1"/>
  <c r="F468" i="1"/>
  <c r="F997" i="1"/>
  <c r="F458" i="1"/>
  <c r="F631" i="1"/>
  <c r="F366" i="1"/>
  <c r="F586" i="1"/>
  <c r="F414" i="1"/>
  <c r="F27" i="1"/>
  <c r="F226" i="1"/>
  <c r="F83" i="1"/>
  <c r="F316" i="1"/>
  <c r="F792" i="1"/>
  <c r="F750" i="1"/>
  <c r="F575" i="1"/>
  <c r="F710" i="1"/>
  <c r="F932" i="1"/>
  <c r="F191" i="1"/>
  <c r="F248" i="1"/>
  <c r="F924" i="1"/>
  <c r="F550" i="1"/>
  <c r="F930" i="1"/>
  <c r="F941" i="1"/>
  <c r="F183" i="1"/>
  <c r="F327" i="1"/>
  <c r="F302" i="1"/>
  <c r="F271" i="1"/>
  <c r="F791" i="1"/>
  <c r="F931" i="1"/>
  <c r="F292" i="1"/>
  <c r="F891" i="1"/>
  <c r="F755" i="1"/>
  <c r="F909" i="1"/>
  <c r="F169" i="1"/>
  <c r="F917" i="1"/>
  <c r="F55" i="1"/>
  <c r="F679" i="1"/>
  <c r="F441" i="1"/>
  <c r="F836" i="1"/>
  <c r="F206" i="1"/>
  <c r="F657" i="1"/>
  <c r="F193" i="1"/>
  <c r="F171" i="1"/>
  <c r="F954" i="1"/>
  <c r="F136" i="1"/>
  <c r="F888" i="1"/>
  <c r="F422" i="1"/>
  <c r="F89" i="1"/>
  <c r="F187" i="1"/>
  <c r="F211" i="1"/>
  <c r="F280" i="1"/>
  <c r="F543" i="1"/>
  <c r="F637" i="1"/>
  <c r="F732" i="1"/>
  <c r="F63" i="1"/>
  <c r="F547" i="1"/>
  <c r="F674" i="1"/>
  <c r="F629" i="1"/>
  <c r="F453" i="1"/>
  <c r="F818" i="1"/>
  <c r="F60" i="1"/>
  <c r="F104" i="1"/>
  <c r="F568" i="1"/>
  <c r="F361" i="1"/>
  <c r="F545" i="1"/>
  <c r="F901" i="1"/>
  <c r="F989" i="1"/>
  <c r="F359" i="1"/>
  <c r="F134" i="1"/>
  <c r="F215" i="1"/>
  <c r="F866" i="1"/>
  <c r="F903" i="1"/>
  <c r="F260" i="1"/>
  <c r="F714" i="1"/>
  <c r="F297" i="1"/>
  <c r="F621" i="1"/>
  <c r="F817" i="1"/>
  <c r="F505" i="1"/>
  <c r="F912" i="1"/>
  <c r="F658" i="1"/>
  <c r="F482" i="1"/>
  <c r="F588" i="1"/>
  <c r="F790" i="1"/>
  <c r="F387" i="1"/>
  <c r="F247" i="1"/>
  <c r="F12" i="1"/>
  <c r="F565" i="1"/>
  <c r="F145" i="1"/>
  <c r="F93" i="1"/>
  <c r="F276" i="1"/>
  <c r="F990" i="1"/>
  <c r="F71" i="1"/>
  <c r="F233" i="1"/>
  <c r="F569" i="1"/>
  <c r="F76" i="1"/>
  <c r="F858" i="1"/>
  <c r="F816" i="1"/>
  <c r="F627" i="1"/>
  <c r="F838" i="1"/>
  <c r="F855" i="1"/>
  <c r="F228" i="1"/>
  <c r="F793" i="1"/>
  <c r="F612" i="1"/>
  <c r="F591" i="1"/>
  <c r="F158" i="1"/>
  <c r="F728" i="1"/>
  <c r="F510" i="1"/>
  <c r="F731" i="1"/>
  <c r="F42" i="1"/>
  <c r="F121" i="1"/>
  <c r="F622" i="1"/>
  <c r="F301" i="1"/>
  <c r="F312" i="1"/>
  <c r="F644" i="1"/>
  <c r="F937" i="1"/>
  <c r="F873" i="1"/>
  <c r="F120" i="1"/>
  <c r="F410" i="1"/>
  <c r="F605" i="1"/>
  <c r="F950" i="1"/>
  <c r="F996" i="1"/>
  <c r="F525" i="1"/>
  <c r="F820" i="1"/>
  <c r="F113" i="1"/>
  <c r="F632" i="1"/>
  <c r="F782" i="1"/>
  <c r="F384" i="1"/>
  <c r="F236" i="1"/>
  <c r="F9" i="1"/>
  <c r="F405" i="1"/>
  <c r="F216" i="1"/>
  <c r="F988" i="1"/>
  <c r="F846" i="1"/>
  <c r="F898" i="1"/>
  <c r="F34" i="1"/>
  <c r="F803" i="1"/>
  <c r="F245" i="1"/>
  <c r="F958" i="1"/>
  <c r="F480" i="1"/>
  <c r="F186" i="1"/>
  <c r="F234" i="1"/>
  <c r="F805" i="1"/>
  <c r="F399" i="1"/>
  <c r="F822" i="1"/>
  <c r="F951" i="1"/>
  <c r="F557" i="1"/>
  <c r="F488" i="1"/>
  <c r="F953" i="1"/>
  <c r="F495" i="1"/>
  <c r="F725" i="1"/>
  <c r="F47" i="1"/>
  <c r="F649" i="1"/>
  <c r="F72" i="1"/>
  <c r="F860" i="1"/>
  <c r="F497" i="1"/>
  <c r="F219" i="1"/>
  <c r="F434" i="1"/>
  <c r="F138" i="1"/>
  <c r="F795" i="1"/>
  <c r="F677" i="1"/>
  <c r="F780" i="1"/>
  <c r="F765" i="1"/>
  <c r="F428" i="1"/>
  <c r="F974" i="1"/>
  <c r="F762" i="1"/>
  <c r="F524" i="1"/>
  <c r="F429" i="1"/>
  <c r="F64" i="1"/>
  <c r="F652" i="1"/>
  <c r="F618" i="1"/>
  <c r="F785" i="1"/>
  <c r="F16" i="1"/>
  <c r="F850" i="1"/>
  <c r="F465" i="1"/>
  <c r="F956" i="1"/>
  <c r="F342" i="1"/>
  <c r="F700" i="1"/>
  <c r="F733" i="1"/>
  <c r="F356" i="1"/>
  <c r="F503" i="1"/>
  <c r="F560" i="1"/>
  <c r="F693" i="1"/>
  <c r="F697" i="1"/>
  <c r="F975" i="1"/>
  <c r="F88" i="1"/>
  <c r="F746" i="1"/>
  <c r="F447" i="1"/>
  <c r="F531" i="1"/>
  <c r="F598" i="1"/>
  <c r="F913" i="1"/>
  <c r="F594" i="1"/>
  <c r="F502" i="1"/>
  <c r="F109" i="1"/>
  <c r="F291" i="1"/>
  <c r="F451" i="1"/>
  <c r="F51" i="1"/>
  <c r="F262" i="1"/>
  <c r="F528" i="1"/>
  <c r="F966" i="1"/>
  <c r="F839" i="1"/>
  <c r="F636" i="1"/>
  <c r="F763" i="1"/>
  <c r="F189" i="1"/>
  <c r="F628" i="1"/>
  <c r="F957" i="1"/>
  <c r="F853" i="1"/>
  <c r="F165" i="1"/>
  <c r="F393" i="1"/>
  <c r="F508" i="1"/>
  <c r="F549" i="1"/>
  <c r="F391" i="1"/>
  <c r="F151" i="1"/>
  <c r="F290" i="1"/>
  <c r="F840" i="1"/>
  <c r="F460" i="1"/>
  <c r="F198" i="1"/>
  <c r="F752" i="1"/>
  <c r="F641" i="1"/>
  <c r="F949" i="1"/>
  <c r="F6" i="1"/>
  <c r="F389" i="1"/>
  <c r="F999" i="1"/>
  <c r="F282" i="1"/>
  <c r="F259" i="1"/>
  <c r="F40" i="1"/>
  <c r="F61" i="1"/>
  <c r="F741" i="1"/>
  <c r="F487" i="1"/>
  <c r="F398" i="1"/>
  <c r="F915" i="1"/>
  <c r="F74" i="1"/>
  <c r="F526" i="1"/>
  <c r="F132" i="1"/>
  <c r="F548" i="1"/>
  <c r="F77" i="1"/>
  <c r="F829" i="1"/>
  <c r="F570" i="1"/>
  <c r="F298" i="1"/>
  <c r="F555" i="1"/>
  <c r="F69" i="1"/>
  <c r="F431" i="1"/>
  <c r="F534" i="1"/>
  <c r="F442" i="1"/>
  <c r="F26" i="1"/>
  <c r="F576" i="1"/>
  <c r="F231" i="1"/>
  <c r="F821" i="1"/>
  <c r="F744" i="1"/>
  <c r="F418" i="1"/>
  <c r="F73" i="1"/>
  <c r="F472" i="1"/>
  <c r="F53" i="1"/>
  <c r="F768" i="1"/>
  <c r="F142" i="1"/>
  <c r="F207" i="1"/>
  <c r="F567" i="1"/>
  <c r="F440" i="1"/>
  <c r="F242" i="1"/>
  <c r="F1001" i="1"/>
  <c r="F563" i="1"/>
  <c r="F584" i="1"/>
  <c r="F726" i="1"/>
  <c r="F400" i="1"/>
  <c r="F192" i="1"/>
  <c r="F152" i="1"/>
  <c r="F90" i="1"/>
  <c r="F539" i="1"/>
  <c r="F348" i="1"/>
  <c r="F380" i="1"/>
  <c r="F381" i="1"/>
  <c r="F56" i="1"/>
  <c r="F717" i="1"/>
  <c r="F289" i="1"/>
  <c r="F334" i="1"/>
  <c r="F771" i="1"/>
  <c r="F87" i="1"/>
  <c r="F885" i="1"/>
  <c r="F587" i="1"/>
  <c r="F287" i="1"/>
  <c r="F78" i="1"/>
  <c r="F119" i="1"/>
  <c r="F139" i="1"/>
  <c r="F523" i="1"/>
  <c r="F875" i="1"/>
  <c r="F681" i="1"/>
  <c r="F58" i="1"/>
  <c r="F554" i="1"/>
  <c r="F696" i="1"/>
  <c r="F739" i="1"/>
  <c r="F807" i="1"/>
  <c r="F972" i="1"/>
  <c r="F947" i="1"/>
  <c r="F661" i="1"/>
  <c r="F333" i="1"/>
  <c r="F148" i="1"/>
  <c r="F900" i="1"/>
  <c r="F363" i="1"/>
  <c r="F425" i="1"/>
  <c r="F124" i="1"/>
  <c r="F199" i="1"/>
  <c r="F743" i="1"/>
  <c r="F28" i="1"/>
  <c r="F463" i="1"/>
  <c r="F306" i="1"/>
  <c r="F448" i="1"/>
  <c r="F667" i="1"/>
  <c r="F806" i="1"/>
  <c r="F91" i="1"/>
  <c r="F36" i="1"/>
  <c r="F994" i="1"/>
  <c r="F856" i="1"/>
  <c r="F407" i="1"/>
  <c r="F704" i="1"/>
  <c r="F766" i="1"/>
  <c r="F23" i="1"/>
  <c r="F284" i="1"/>
  <c r="F351" i="1"/>
  <c r="F943" i="1"/>
  <c r="F222" i="1"/>
  <c r="F647" i="1"/>
  <c r="F831" i="1"/>
  <c r="F362" i="1"/>
  <c r="F815" i="1"/>
  <c r="F352" i="1"/>
  <c r="F70" i="1"/>
  <c r="F274" i="1"/>
  <c r="F220" i="1"/>
  <c r="F172" i="1"/>
  <c r="F541" i="1"/>
  <c r="F382" i="1"/>
  <c r="F144" i="1"/>
  <c r="F300" i="1"/>
  <c r="F406" i="1"/>
  <c r="F241" i="1"/>
  <c r="F378" i="1"/>
  <c r="F786" i="1"/>
  <c r="F331" i="1"/>
  <c r="F372" i="1"/>
  <c r="F638" i="1"/>
  <c r="F654" i="1"/>
  <c r="F115" i="1"/>
  <c r="F604" i="1"/>
  <c r="F283" i="1"/>
  <c r="F321" i="1"/>
  <c r="F130" i="1"/>
  <c r="F675" i="1"/>
  <c r="F607" i="1"/>
  <c r="F385" i="1"/>
  <c r="F895" i="1"/>
  <c r="F2" i="1"/>
  <c r="F585" i="1"/>
  <c r="F680" i="1"/>
  <c r="F610" i="1"/>
  <c r="F522" i="1"/>
  <c r="F540" i="1"/>
  <c r="F255" i="1"/>
  <c r="F890" i="1"/>
  <c r="F812" i="1"/>
  <c r="F802" i="1"/>
  <c r="F685" i="1"/>
  <c r="F462" i="1"/>
  <c r="F29" i="1"/>
  <c r="F800" i="1"/>
  <c r="F10" i="1"/>
  <c r="F715" i="1"/>
  <c r="F921" i="1"/>
  <c r="F427" i="1"/>
  <c r="F433" i="1"/>
  <c r="F530" i="1"/>
  <c r="F249" i="1"/>
  <c r="F346" i="1"/>
  <c r="F426" i="1"/>
  <c r="F923" i="1"/>
  <c r="F730" i="1"/>
  <c r="F419" i="1"/>
  <c r="F457" i="1"/>
  <c r="F185" i="1"/>
  <c r="F24" i="1"/>
  <c r="F978" i="1"/>
  <c r="F200" i="1"/>
  <c r="F473" i="1"/>
  <c r="F328" i="1"/>
  <c r="F991" i="1"/>
  <c r="F500" i="1"/>
  <c r="F572" i="1"/>
  <c r="F459" i="1"/>
  <c r="F421" i="1"/>
  <c r="F257" i="1"/>
  <c r="F243" i="1"/>
  <c r="F159" i="1"/>
  <c r="F705" i="1"/>
  <c r="F315" i="1"/>
  <c r="F707" i="1"/>
  <c r="F611" i="1"/>
  <c r="F392" i="1"/>
  <c r="F319" i="1"/>
  <c r="F965" i="1"/>
  <c r="F456" i="1"/>
  <c r="F521" i="1"/>
  <c r="F65" i="1"/>
  <c r="F50" i="1"/>
  <c r="F438" i="1"/>
  <c r="F775" i="1"/>
  <c r="F343" i="1"/>
  <c r="F823" i="1"/>
  <c r="F133" i="1"/>
  <c r="F267" i="1"/>
  <c r="F969" i="1"/>
  <c r="F455" i="1"/>
  <c r="F175" i="1"/>
  <c r="F214" i="1"/>
  <c r="F75" i="1"/>
  <c r="F970" i="1"/>
  <c r="F886" i="1"/>
  <c r="F107" i="1"/>
  <c r="F402" i="1"/>
  <c r="F814" i="1"/>
  <c r="F354" i="1"/>
  <c r="F759" i="1"/>
  <c r="F940" i="1"/>
  <c r="F635" i="1"/>
  <c r="F475" i="1"/>
  <c r="F532" i="1"/>
  <c r="F719" i="1"/>
  <c r="F364" i="1"/>
  <c r="F533" i="1"/>
  <c r="F519" i="1"/>
  <c r="F470" i="1"/>
  <c r="F600" i="1"/>
  <c r="F420" i="1"/>
  <c r="F642" i="1"/>
  <c r="F887" i="1"/>
  <c r="F341" i="1"/>
  <c r="F980" i="1"/>
  <c r="F250" i="1"/>
  <c r="F938" i="1"/>
  <c r="F504" i="1"/>
  <c r="F699" i="1"/>
  <c r="F100" i="1"/>
  <c r="F914" i="1"/>
  <c r="F97" i="1"/>
  <c r="F955" i="1"/>
  <c r="F964" i="1"/>
  <c r="F655" i="1"/>
  <c r="F734" i="1"/>
  <c r="F977" i="1"/>
  <c r="F135" i="1"/>
  <c r="F799" i="1"/>
  <c r="F672" i="1"/>
  <c r="F827" i="1"/>
  <c r="F338" i="1"/>
  <c r="F67" i="1"/>
  <c r="F844" i="1"/>
  <c r="F213" i="1"/>
  <c r="F709" i="1"/>
  <c r="F347" i="1"/>
  <c r="F20" i="1"/>
  <c r="F640" i="1"/>
  <c r="F484" i="1"/>
  <c r="F772" i="1"/>
  <c r="F155" i="1"/>
  <c r="F156" i="1"/>
  <c r="F843" i="1"/>
  <c r="F778" i="1"/>
  <c r="F551" i="1"/>
  <c r="F852" i="1"/>
  <c r="F194" i="1"/>
  <c r="F971" i="1"/>
  <c r="F552" i="1"/>
  <c r="F201" i="1"/>
  <c r="F54" i="1"/>
  <c r="F477" i="1"/>
  <c r="F452" i="1"/>
  <c r="F737" i="1"/>
  <c r="F896" i="1"/>
  <c r="F173" i="1"/>
  <c r="F31" i="1"/>
  <c r="F126" i="1"/>
  <c r="F664" i="1"/>
  <c r="F859" i="1"/>
  <c r="F25" i="1"/>
  <c r="F564" i="1"/>
  <c r="F43" i="1"/>
  <c r="F161" i="1"/>
  <c r="F835" i="1"/>
  <c r="F210" i="1"/>
  <c r="F952" i="1"/>
  <c r="F506" i="1"/>
  <c r="F269" i="1"/>
  <c r="F401" i="1"/>
  <c r="F81" i="1"/>
  <c r="F483" i="1"/>
  <c r="F910" i="1"/>
  <c r="F294" i="1"/>
  <c r="F101" i="1"/>
  <c r="F513" i="1"/>
  <c r="F985" i="1"/>
  <c r="F417" i="1"/>
  <c r="F311" i="1"/>
  <c r="F857" i="1"/>
  <c r="F396" i="1"/>
  <c r="F490" i="1"/>
  <c r="F116" i="1"/>
  <c r="F357" i="1"/>
  <c r="F8" i="1"/>
  <c r="F797" i="1"/>
  <c r="F394" i="1"/>
  <c r="F767" i="1"/>
  <c r="F279" i="1"/>
  <c r="F95" i="1"/>
  <c r="F613" i="1"/>
  <c r="F143" i="1"/>
  <c r="F258" i="1"/>
  <c r="F323" i="1"/>
  <c r="F349" i="1"/>
  <c r="F390" i="1"/>
  <c r="F174" i="1"/>
  <c r="F617" i="1"/>
  <c r="F538" i="1"/>
  <c r="F660" i="1"/>
  <c r="F880" i="1"/>
  <c r="F595" i="1"/>
  <c r="F371" i="1"/>
  <c r="F663" i="1"/>
  <c r="F350" i="1"/>
  <c r="F204" i="1"/>
  <c r="F146" i="1"/>
  <c r="F66" i="1"/>
  <c r="F466" i="1"/>
  <c r="F518" i="1"/>
  <c r="F967" i="1"/>
  <c r="F305" i="1"/>
  <c r="F535" i="1"/>
  <c r="F758" i="1"/>
  <c r="F317" i="1"/>
  <c r="F724" i="1"/>
  <c r="F499" i="1"/>
  <c r="F639" i="1"/>
  <c r="F515" i="1"/>
  <c r="F593" i="1"/>
  <c r="F167" i="1"/>
  <c r="F15" i="1"/>
  <c r="F606" i="1"/>
  <c r="F225" i="1"/>
  <c r="F987" i="1"/>
  <c r="F286" i="1"/>
  <c r="F754" i="1"/>
  <c r="F882" i="1"/>
  <c r="F669" i="1"/>
  <c r="F437" i="1"/>
  <c r="F314" i="1"/>
  <c r="F224" i="1"/>
  <c r="F670" i="1"/>
  <c r="F35" i="1"/>
  <c r="F330" i="1"/>
  <c r="F103" i="1"/>
  <c r="F4" i="1"/>
  <c r="F309" i="1"/>
  <c r="F375" i="1"/>
  <c r="F981" i="1"/>
  <c r="F874" i="1"/>
  <c r="F577" i="1"/>
  <c r="F701" i="1"/>
  <c r="F439" i="1"/>
  <c r="F30" i="1"/>
  <c r="F666" i="1"/>
  <c r="F561" i="1"/>
  <c r="F79" i="1"/>
  <c r="F190" i="1"/>
  <c r="F485" i="1"/>
  <c r="F335" i="1"/>
  <c r="F227" i="1"/>
  <c r="F273" i="1"/>
  <c r="F507" i="1"/>
  <c r="F408" i="1"/>
  <c r="F240" i="1"/>
  <c r="F527" i="1"/>
  <c r="F501" i="1"/>
  <c r="F19" i="1"/>
  <c r="F369" i="1"/>
  <c r="F615" i="1"/>
  <c r="F558" i="1"/>
  <c r="F645" i="1"/>
  <c r="F687" i="1"/>
  <c r="F833" i="1"/>
  <c r="F745" i="1"/>
  <c r="F542" i="1"/>
  <c r="F834" i="1"/>
  <c r="F263" i="1"/>
  <c r="F32" i="1"/>
  <c r="F756" i="1"/>
  <c r="F749" i="1"/>
  <c r="F712" i="1"/>
  <c r="F324" i="1"/>
  <c r="F603" i="1"/>
  <c r="F181" i="1"/>
  <c r="F278" i="1"/>
  <c r="F163" i="1"/>
  <c r="F592" i="1"/>
  <c r="F865" i="1"/>
  <c r="F742" i="1"/>
  <c r="F574" i="1"/>
  <c r="F691" i="1"/>
  <c r="F493" i="1"/>
  <c r="F761" i="1"/>
  <c r="F566" i="1"/>
  <c r="F983" i="1"/>
  <c r="F7" i="1"/>
  <c r="F268" i="1"/>
  <c r="F828" i="1"/>
  <c r="F608" i="1"/>
  <c r="F945" i="1"/>
  <c r="F935" i="1"/>
  <c r="F229" i="1"/>
  <c r="F580" i="1"/>
  <c r="F22" i="1"/>
  <c r="F825" i="1"/>
  <c r="F114" i="1"/>
  <c r="F310" i="1"/>
  <c r="F863" i="1"/>
  <c r="F984" i="1"/>
  <c r="F202" i="1"/>
  <c r="F589" i="1"/>
  <c r="F340" i="1"/>
  <c r="F326" i="1"/>
  <c r="F386" i="1"/>
  <c r="F514" i="1"/>
  <c r="F757" i="1"/>
  <c r="F939" i="1"/>
  <c r="F643" i="1"/>
  <c r="F329" i="1"/>
  <c r="F841" i="1"/>
  <c r="F918" i="1"/>
  <c r="F445" i="1"/>
  <c r="F308" i="1"/>
  <c r="F902" i="1"/>
  <c r="F195" i="1"/>
  <c r="F123" i="1"/>
  <c r="F41" i="1"/>
  <c r="F936" i="1"/>
  <c r="F801" i="1"/>
  <c r="F804" i="1"/>
  <c r="F212" i="1"/>
  <c r="F562" i="1"/>
  <c r="F884" i="1"/>
  <c r="F648" i="1"/>
  <c r="F837" i="1"/>
  <c r="F223" i="1"/>
  <c r="F424" i="1"/>
  <c r="F154" i="1"/>
  <c r="F166" i="1"/>
  <c r="F140" i="1"/>
  <c r="F695" i="1"/>
  <c r="F281" i="1"/>
  <c r="F467" i="1"/>
  <c r="F373" i="1"/>
  <c r="F379" i="1"/>
  <c r="F571" i="1"/>
  <c r="F179" i="1"/>
  <c r="F403" i="1"/>
  <c r="F559" i="1"/>
  <c r="F205" i="1"/>
  <c r="F137" i="1"/>
  <c r="F926" i="1"/>
  <c r="F147" i="1"/>
  <c r="F867" i="1"/>
  <c r="F729" i="1"/>
  <c r="F129" i="1"/>
  <c r="F721" i="1"/>
  <c r="F624" i="1"/>
  <c r="F84" i="1"/>
  <c r="F889" i="1"/>
  <c r="F788" i="1"/>
  <c r="F671" i="1"/>
  <c r="F769" i="1"/>
  <c r="F235" i="1"/>
  <c r="F899" i="1"/>
  <c r="F789" i="1"/>
  <c r="F998" i="1"/>
  <c r="F432" i="1"/>
  <c r="F374" i="1"/>
  <c r="F37" i="1"/>
  <c r="F170" i="1"/>
  <c r="F339" i="1"/>
  <c r="F581" i="1"/>
  <c r="F961" i="1"/>
  <c r="F686" i="1"/>
  <c r="F583" i="1"/>
  <c r="F11" i="1"/>
  <c r="F590" i="1"/>
  <c r="F17" i="1"/>
  <c r="F365" i="1"/>
  <c r="F904" i="1"/>
  <c r="F39" i="1"/>
  <c r="F684" i="1"/>
  <c r="F623" i="1"/>
  <c r="F128" i="1"/>
  <c r="F182" i="1"/>
  <c r="F82" i="1"/>
  <c r="F736" i="1"/>
  <c r="D847" i="1"/>
  <c r="D973" i="1"/>
  <c r="D609" i="1"/>
  <c r="D662" i="1"/>
  <c r="D698" i="1"/>
  <c r="D810" i="1"/>
  <c r="D862" i="1"/>
  <c r="D52" i="1"/>
  <c r="D244" i="1"/>
  <c r="D881" i="1"/>
  <c r="D176" i="1"/>
  <c r="D415" i="1"/>
  <c r="D959" i="1"/>
  <c r="D963" i="1"/>
  <c r="D878" i="1"/>
  <c r="D711" i="1"/>
  <c r="D683" i="1"/>
  <c r="D299" i="1"/>
  <c r="D160" i="1"/>
  <c r="D968" i="1"/>
  <c r="D218" i="1"/>
  <c r="D740" i="1"/>
  <c r="D99" i="1"/>
  <c r="D14" i="1"/>
  <c r="D246" i="1"/>
  <c r="D423" i="1"/>
  <c r="D706" i="1"/>
  <c r="D376" i="1"/>
  <c r="D180" i="1"/>
  <c r="D597" i="1"/>
  <c r="D992" i="1"/>
  <c r="D783" i="1"/>
  <c r="D21" i="1"/>
  <c r="D411" i="1"/>
  <c r="D512" i="1"/>
  <c r="D602" i="1"/>
  <c r="D794" i="1"/>
  <c r="D713" i="1"/>
  <c r="D520" i="1"/>
  <c r="D861" i="1"/>
  <c r="D876" i="1"/>
  <c r="D471" i="1"/>
  <c r="D870" i="1"/>
  <c r="D494" i="1"/>
  <c r="D509" i="1"/>
  <c r="D157" i="1"/>
  <c r="D626" i="1"/>
  <c r="D948" i="1"/>
  <c r="D358" i="1"/>
  <c r="D264" i="1"/>
  <c r="D830" i="1"/>
  <c r="D476" i="1"/>
  <c r="D893" i="1"/>
  <c r="D237" i="1"/>
  <c r="D578" i="1"/>
  <c r="D125" i="1"/>
  <c r="D141" i="1"/>
  <c r="D489" i="1"/>
  <c r="D197" i="1"/>
  <c r="D748" i="1"/>
  <c r="D13" i="1"/>
  <c r="D908" i="1"/>
  <c r="D946" i="1"/>
  <c r="D80" i="1"/>
  <c r="D692" i="1"/>
  <c r="D582" i="1"/>
  <c r="D894" i="1"/>
  <c r="D682" i="1"/>
  <c r="D864" i="1"/>
  <c r="D469" i="1"/>
  <c r="D601" i="1"/>
  <c r="D368" i="1"/>
  <c r="D118" i="1"/>
  <c r="D486" i="1"/>
  <c r="D779" i="1"/>
  <c r="D481" i="1"/>
  <c r="D496" i="1"/>
  <c r="D727" i="1"/>
  <c r="D59" i="1"/>
  <c r="D619" i="1"/>
  <c r="D18" i="1"/>
  <c r="D46" i="1"/>
  <c r="D102" i="1"/>
  <c r="D906" i="1"/>
  <c r="D150" i="1"/>
  <c r="D117" i="1"/>
  <c r="D770" i="1"/>
  <c r="D266" i="1"/>
  <c r="D659" i="1"/>
  <c r="D777" i="1"/>
  <c r="D355" i="1"/>
  <c r="D474" i="1"/>
  <c r="D614" i="1"/>
  <c r="D112" i="1"/>
  <c r="D38" i="1"/>
  <c r="D221" i="1"/>
  <c r="D702" i="1"/>
  <c r="D44" i="1"/>
  <c r="D536" i="1"/>
  <c r="D933" i="1"/>
  <c r="D690" i="1"/>
  <c r="D960" i="1"/>
  <c r="D544" i="1"/>
  <c r="D446" i="1"/>
  <c r="D616" i="1"/>
  <c r="D919" i="1"/>
  <c r="D723" i="1"/>
  <c r="D209" i="1"/>
  <c r="D546" i="1"/>
  <c r="D722" i="1"/>
  <c r="D92" i="1"/>
  <c r="D304" i="1"/>
  <c r="D454" i="1"/>
  <c r="D106" i="1"/>
  <c r="D360" i="1"/>
  <c r="D808" i="1"/>
  <c r="D630" i="1"/>
  <c r="D809" i="1"/>
  <c r="D653" i="1"/>
  <c r="D217" i="1"/>
  <c r="D256" i="1"/>
  <c r="D634" i="1"/>
  <c r="D184" i="1"/>
  <c r="D404" i="1"/>
  <c r="D188" i="1"/>
  <c r="D449" i="1"/>
  <c r="D491" i="1"/>
  <c r="D708" i="1"/>
  <c r="D813" i="1"/>
  <c r="D293" i="1"/>
  <c r="D307" i="1"/>
  <c r="D879" i="1"/>
  <c r="D944" i="1"/>
  <c r="D849" i="1"/>
  <c r="D796" i="1"/>
  <c r="D127" i="1"/>
  <c r="D784" i="1"/>
  <c r="D48" i="1"/>
  <c r="D413" i="1"/>
  <c r="D168" i="1"/>
  <c r="D922" i="1"/>
  <c r="D461" i="1"/>
  <c r="D464" i="1"/>
  <c r="D164" i="1"/>
  <c r="D344" i="1"/>
  <c r="D277" i="1"/>
  <c r="D646" i="1"/>
  <c r="D232" i="1"/>
  <c r="D986" i="1"/>
  <c r="D49" i="1"/>
  <c r="D842" i="1"/>
  <c r="D45" i="1"/>
  <c r="D261" i="1"/>
  <c r="D620" i="1"/>
  <c r="D108" i="1"/>
  <c r="D511" i="1"/>
  <c r="D845" i="1"/>
  <c r="D579" i="1"/>
  <c r="D395" i="1"/>
  <c r="D787" i="1"/>
  <c r="D367" i="1"/>
  <c r="D995" i="1"/>
  <c r="D633" i="1"/>
  <c r="D303" i="1"/>
  <c r="D764" i="1"/>
  <c r="D295" i="1"/>
  <c r="D854" i="1"/>
  <c r="D131" i="1"/>
  <c r="D573" i="1"/>
  <c r="D110" i="1"/>
  <c r="D296" i="1"/>
  <c r="D149" i="1"/>
  <c r="D738" i="1"/>
  <c r="D798" i="1"/>
  <c r="D479" i="1"/>
  <c r="D781" i="1"/>
  <c r="D252" i="1"/>
  <c r="D272" i="1"/>
  <c r="D1000" i="1"/>
  <c r="D162" i="1"/>
  <c r="D537" i="1"/>
  <c r="D313" i="1"/>
  <c r="D979" i="1"/>
  <c r="D848" i="1"/>
  <c r="D492" i="1"/>
  <c r="D556" i="1"/>
  <c r="D673" i="1"/>
  <c r="D929" i="1"/>
  <c r="D668" i="1"/>
  <c r="D208" i="1"/>
  <c r="D892" i="1"/>
  <c r="D883" i="1"/>
  <c r="D318" i="1"/>
  <c r="D911" i="1"/>
  <c r="D270" i="1"/>
  <c r="D826" i="1"/>
  <c r="D824" i="1"/>
  <c r="D85" i="1"/>
  <c r="D332" i="1"/>
  <c r="D238" i="1"/>
  <c r="D774" i="1"/>
  <c r="D625" i="1"/>
  <c r="D275" i="1"/>
  <c r="D153" i="1"/>
  <c r="D409" i="1"/>
  <c r="D720" i="1"/>
  <c r="D253" i="1"/>
  <c r="D33" i="1"/>
  <c r="D735" i="1"/>
  <c r="D3" i="1"/>
  <c r="D553" i="1"/>
  <c r="D450" i="1"/>
  <c r="D62" i="1"/>
  <c r="D98" i="1"/>
  <c r="D478" i="1"/>
  <c r="D388" i="1"/>
  <c r="D285" i="1"/>
  <c r="D370" i="1"/>
  <c r="D832" i="1"/>
  <c r="D656" i="1"/>
  <c r="D694" i="1"/>
  <c r="D920" i="1"/>
  <c r="D517" i="1"/>
  <c r="D976" i="1"/>
  <c r="D177" i="1"/>
  <c r="D230" i="1"/>
  <c r="D688" i="1"/>
  <c r="D178" i="1"/>
  <c r="D703" i="1"/>
  <c r="D993" i="1"/>
  <c r="D905" i="1"/>
  <c r="D5" i="1"/>
  <c r="D122" i="1"/>
  <c r="D927" i="1"/>
  <c r="D689" i="1"/>
  <c r="D916" i="1"/>
  <c r="D962" i="1"/>
  <c r="D529" i="1"/>
  <c r="D907" i="1"/>
  <c r="D288" i="1"/>
  <c r="D678" i="1"/>
  <c r="D596" i="1"/>
  <c r="D68" i="1"/>
  <c r="D320" i="1"/>
  <c r="D716" i="1"/>
  <c r="D251" i="1"/>
  <c r="D819" i="1"/>
  <c r="D203" i="1"/>
  <c r="D196" i="1"/>
  <c r="D336" i="1"/>
  <c r="D665" i="1"/>
  <c r="D337" i="1"/>
  <c r="D435" i="1"/>
  <c r="D751" i="1"/>
  <c r="D872" i="1"/>
  <c r="D871" i="1"/>
  <c r="D86" i="1"/>
  <c r="D397" i="1"/>
  <c r="D498" i="1"/>
  <c r="D416" i="1"/>
  <c r="D430" i="1"/>
  <c r="D345" i="1"/>
  <c r="D934" i="1"/>
  <c r="D57" i="1"/>
  <c r="D94" i="1"/>
  <c r="D105" i="1"/>
  <c r="D869" i="1"/>
  <c r="D925" i="1"/>
  <c r="D443" i="1"/>
  <c r="D516" i="1"/>
  <c r="D851" i="1"/>
  <c r="D650" i="1"/>
  <c r="D747" i="1"/>
  <c r="D753" i="1"/>
  <c r="D265" i="1"/>
  <c r="D377" i="1"/>
  <c r="D811" i="1"/>
  <c r="D412" i="1"/>
  <c r="D760" i="1"/>
  <c r="D599" i="1"/>
  <c r="D353" i="1"/>
  <c r="D651" i="1"/>
  <c r="D897" i="1"/>
  <c r="D383" i="1"/>
  <c r="D239" i="1"/>
  <c r="D868" i="1"/>
  <c r="D942" i="1"/>
  <c r="D96" i="1"/>
  <c r="D254" i="1"/>
  <c r="D982" i="1"/>
  <c r="D877" i="1"/>
  <c r="D676" i="1"/>
  <c r="D773" i="1"/>
  <c r="D436" i="1"/>
  <c r="D322" i="1"/>
  <c r="D325" i="1"/>
  <c r="D718" i="1"/>
  <c r="D444" i="1"/>
  <c r="D928" i="1"/>
  <c r="D776" i="1"/>
  <c r="D468" i="1"/>
  <c r="D997" i="1"/>
  <c r="D458" i="1"/>
  <c r="D631" i="1"/>
  <c r="D366" i="1"/>
  <c r="D586" i="1"/>
  <c r="D414" i="1"/>
  <c r="D27" i="1"/>
  <c r="D226" i="1"/>
  <c r="D83" i="1"/>
  <c r="D316" i="1"/>
  <c r="D792" i="1"/>
  <c r="D750" i="1"/>
  <c r="D575" i="1"/>
  <c r="D710" i="1"/>
  <c r="D932" i="1"/>
  <c r="D191" i="1"/>
  <c r="D248" i="1"/>
  <c r="D924" i="1"/>
  <c r="D550" i="1"/>
  <c r="D930" i="1"/>
  <c r="D941" i="1"/>
  <c r="D183" i="1"/>
  <c r="D327" i="1"/>
  <c r="D302" i="1"/>
  <c r="D271" i="1"/>
  <c r="D791" i="1"/>
  <c r="D931" i="1"/>
  <c r="D292" i="1"/>
  <c r="D891" i="1"/>
  <c r="D755" i="1"/>
  <c r="D909" i="1"/>
  <c r="D169" i="1"/>
  <c r="D917" i="1"/>
  <c r="D55" i="1"/>
  <c r="D679" i="1"/>
  <c r="D441" i="1"/>
  <c r="D836" i="1"/>
  <c r="D206" i="1"/>
  <c r="D657" i="1"/>
  <c r="D193" i="1"/>
  <c r="D171" i="1"/>
  <c r="D954" i="1"/>
  <c r="D136" i="1"/>
  <c r="D888" i="1"/>
  <c r="D422" i="1"/>
  <c r="D89" i="1"/>
  <c r="D187" i="1"/>
  <c r="D211" i="1"/>
  <c r="D280" i="1"/>
  <c r="D543" i="1"/>
  <c r="D637" i="1"/>
  <c r="D732" i="1"/>
  <c r="D63" i="1"/>
  <c r="D547" i="1"/>
  <c r="D674" i="1"/>
  <c r="D629" i="1"/>
  <c r="D453" i="1"/>
  <c r="D818" i="1"/>
  <c r="D60" i="1"/>
  <c r="D104" i="1"/>
  <c r="D568" i="1"/>
  <c r="D361" i="1"/>
  <c r="D545" i="1"/>
  <c r="D901" i="1"/>
  <c r="D989" i="1"/>
  <c r="D359" i="1"/>
  <c r="D134" i="1"/>
  <c r="D215" i="1"/>
  <c r="D866" i="1"/>
  <c r="D903" i="1"/>
  <c r="D260" i="1"/>
  <c r="D714" i="1"/>
  <c r="D297" i="1"/>
  <c r="D621" i="1"/>
  <c r="D817" i="1"/>
  <c r="D505" i="1"/>
  <c r="D912" i="1"/>
  <c r="D658" i="1"/>
  <c r="D482" i="1"/>
  <c r="D588" i="1"/>
  <c r="D790" i="1"/>
  <c r="D387" i="1"/>
  <c r="D247" i="1"/>
  <c r="D12" i="1"/>
  <c r="D565" i="1"/>
  <c r="D145" i="1"/>
  <c r="D93" i="1"/>
  <c r="D276" i="1"/>
  <c r="D990" i="1"/>
  <c r="D71" i="1"/>
  <c r="D233" i="1"/>
  <c r="D569" i="1"/>
  <c r="D76" i="1"/>
  <c r="D858" i="1"/>
  <c r="D816" i="1"/>
  <c r="D627" i="1"/>
  <c r="D838" i="1"/>
  <c r="D855" i="1"/>
  <c r="D228" i="1"/>
  <c r="D793" i="1"/>
  <c r="D612" i="1"/>
  <c r="D591" i="1"/>
  <c r="D158" i="1"/>
  <c r="D728" i="1"/>
  <c r="D510" i="1"/>
  <c r="D731" i="1"/>
  <c r="D42" i="1"/>
  <c r="D121" i="1"/>
  <c r="D622" i="1"/>
  <c r="D301" i="1"/>
  <c r="D312" i="1"/>
  <c r="D644" i="1"/>
  <c r="D937" i="1"/>
  <c r="D873" i="1"/>
  <c r="D120" i="1"/>
  <c r="D410" i="1"/>
  <c r="D605" i="1"/>
  <c r="D950" i="1"/>
  <c r="D996" i="1"/>
  <c r="D525" i="1"/>
  <c r="D820" i="1"/>
  <c r="D113" i="1"/>
  <c r="D632" i="1"/>
  <c r="D782" i="1"/>
  <c r="D384" i="1"/>
  <c r="D236" i="1"/>
  <c r="D9" i="1"/>
  <c r="D405" i="1"/>
  <c r="D216" i="1"/>
  <c r="D988" i="1"/>
  <c r="D846" i="1"/>
  <c r="D898" i="1"/>
  <c r="D34" i="1"/>
  <c r="D803" i="1"/>
  <c r="D245" i="1"/>
  <c r="D958" i="1"/>
  <c r="D480" i="1"/>
  <c r="D186" i="1"/>
  <c r="D234" i="1"/>
  <c r="D805" i="1"/>
  <c r="D399" i="1"/>
  <c r="D822" i="1"/>
  <c r="D951" i="1"/>
  <c r="D557" i="1"/>
  <c r="D488" i="1"/>
  <c r="D953" i="1"/>
  <c r="D495" i="1"/>
  <c r="D725" i="1"/>
  <c r="D47" i="1"/>
  <c r="D649" i="1"/>
  <c r="D72" i="1"/>
  <c r="D860" i="1"/>
  <c r="D497" i="1"/>
  <c r="D219" i="1"/>
  <c r="D434" i="1"/>
  <c r="D138" i="1"/>
  <c r="D795" i="1"/>
  <c r="D677" i="1"/>
  <c r="D780" i="1"/>
  <c r="D765" i="1"/>
  <c r="D428" i="1"/>
  <c r="D974" i="1"/>
  <c r="D762" i="1"/>
  <c r="D524" i="1"/>
  <c r="D429" i="1"/>
  <c r="D64" i="1"/>
  <c r="D652" i="1"/>
  <c r="D618" i="1"/>
  <c r="D785" i="1"/>
  <c r="D16" i="1"/>
  <c r="D850" i="1"/>
  <c r="D465" i="1"/>
  <c r="D956" i="1"/>
  <c r="D342" i="1"/>
  <c r="D700" i="1"/>
  <c r="D733" i="1"/>
  <c r="D356" i="1"/>
  <c r="D503" i="1"/>
  <c r="D560" i="1"/>
  <c r="D693" i="1"/>
  <c r="D697" i="1"/>
  <c r="D975" i="1"/>
  <c r="D88" i="1"/>
  <c r="D746" i="1"/>
  <c r="D447" i="1"/>
  <c r="D531" i="1"/>
  <c r="D598" i="1"/>
  <c r="D913" i="1"/>
  <c r="D594" i="1"/>
  <c r="D502" i="1"/>
  <c r="D109" i="1"/>
  <c r="D291" i="1"/>
  <c r="D451" i="1"/>
  <c r="D51" i="1"/>
  <c r="D262" i="1"/>
  <c r="D528" i="1"/>
  <c r="D966" i="1"/>
  <c r="D839" i="1"/>
  <c r="D636" i="1"/>
  <c r="D763" i="1"/>
  <c r="D189" i="1"/>
  <c r="D628" i="1"/>
  <c r="D957" i="1"/>
  <c r="D853" i="1"/>
  <c r="D165" i="1"/>
  <c r="D393" i="1"/>
  <c r="D508" i="1"/>
  <c r="D549" i="1"/>
  <c r="D391" i="1"/>
  <c r="D151" i="1"/>
  <c r="D290" i="1"/>
  <c r="D840" i="1"/>
  <c r="D460" i="1"/>
  <c r="D198" i="1"/>
  <c r="D752" i="1"/>
  <c r="D641" i="1"/>
  <c r="D949" i="1"/>
  <c r="D6" i="1"/>
  <c r="D389" i="1"/>
  <c r="D999" i="1"/>
  <c r="D282" i="1"/>
  <c r="D259" i="1"/>
  <c r="D40" i="1"/>
  <c r="D61" i="1"/>
  <c r="D741" i="1"/>
  <c r="D487" i="1"/>
  <c r="D398" i="1"/>
  <c r="D915" i="1"/>
  <c r="D74" i="1"/>
  <c r="D526" i="1"/>
  <c r="D132" i="1"/>
  <c r="D548" i="1"/>
  <c r="D77" i="1"/>
  <c r="D829" i="1"/>
  <c r="D570" i="1"/>
  <c r="D298" i="1"/>
  <c r="D555" i="1"/>
  <c r="D69" i="1"/>
  <c r="D431" i="1"/>
  <c r="D534" i="1"/>
  <c r="D442" i="1"/>
  <c r="D26" i="1"/>
  <c r="D576" i="1"/>
  <c r="D231" i="1"/>
  <c r="D821" i="1"/>
  <c r="D744" i="1"/>
  <c r="D418" i="1"/>
  <c r="D73" i="1"/>
  <c r="D472" i="1"/>
  <c r="D53" i="1"/>
  <c r="D768" i="1"/>
  <c r="D142" i="1"/>
  <c r="D207" i="1"/>
  <c r="D567" i="1"/>
  <c r="D440" i="1"/>
  <c r="D242" i="1"/>
  <c r="D1001" i="1"/>
  <c r="D563" i="1"/>
  <c r="D584" i="1"/>
  <c r="D726" i="1"/>
  <c r="D400" i="1"/>
  <c r="D192" i="1"/>
  <c r="D152" i="1"/>
  <c r="D90" i="1"/>
  <c r="D539" i="1"/>
  <c r="D348" i="1"/>
  <c r="D380" i="1"/>
  <c r="D381" i="1"/>
  <c r="D56" i="1"/>
  <c r="D717" i="1"/>
  <c r="D289" i="1"/>
  <c r="D334" i="1"/>
  <c r="D771" i="1"/>
  <c r="D87" i="1"/>
  <c r="D885" i="1"/>
  <c r="D587" i="1"/>
  <c r="D287" i="1"/>
  <c r="D78" i="1"/>
  <c r="D119" i="1"/>
  <c r="D139" i="1"/>
  <c r="D523" i="1"/>
  <c r="D875" i="1"/>
  <c r="D681" i="1"/>
  <c r="D58" i="1"/>
  <c r="D554" i="1"/>
  <c r="D696" i="1"/>
  <c r="D739" i="1"/>
  <c r="D807" i="1"/>
  <c r="D972" i="1"/>
  <c r="D947" i="1"/>
  <c r="D661" i="1"/>
  <c r="D333" i="1"/>
  <c r="D148" i="1"/>
  <c r="D900" i="1"/>
  <c r="D363" i="1"/>
  <c r="D425" i="1"/>
  <c r="D124" i="1"/>
  <c r="D199" i="1"/>
  <c r="D743" i="1"/>
  <c r="D28" i="1"/>
  <c r="D463" i="1"/>
  <c r="D306" i="1"/>
  <c r="D448" i="1"/>
  <c r="D667" i="1"/>
  <c r="D806" i="1"/>
  <c r="D91" i="1"/>
  <c r="D36" i="1"/>
  <c r="D994" i="1"/>
  <c r="D856" i="1"/>
  <c r="D407" i="1"/>
  <c r="D704" i="1"/>
  <c r="D766" i="1"/>
  <c r="D23" i="1"/>
  <c r="D284" i="1"/>
  <c r="D351" i="1"/>
  <c r="D943" i="1"/>
  <c r="D222" i="1"/>
  <c r="D647" i="1"/>
  <c r="D831" i="1"/>
  <c r="D362" i="1"/>
  <c r="D815" i="1"/>
  <c r="D352" i="1"/>
  <c r="D70" i="1"/>
  <c r="D274" i="1"/>
  <c r="D220" i="1"/>
  <c r="D172" i="1"/>
  <c r="D541" i="1"/>
  <c r="D382" i="1"/>
  <c r="D144" i="1"/>
  <c r="D300" i="1"/>
  <c r="D406" i="1"/>
  <c r="D241" i="1"/>
  <c r="D378" i="1"/>
  <c r="D786" i="1"/>
  <c r="D331" i="1"/>
  <c r="D372" i="1"/>
  <c r="D638" i="1"/>
  <c r="D654" i="1"/>
  <c r="D115" i="1"/>
  <c r="D604" i="1"/>
  <c r="D283" i="1"/>
  <c r="D321" i="1"/>
  <c r="D130" i="1"/>
  <c r="D675" i="1"/>
  <c r="D607" i="1"/>
  <c r="D385" i="1"/>
  <c r="D895" i="1"/>
  <c r="D2" i="1"/>
  <c r="D585" i="1"/>
  <c r="D680" i="1"/>
  <c r="D610" i="1"/>
  <c r="D522" i="1"/>
  <c r="D540" i="1"/>
  <c r="D255" i="1"/>
  <c r="D890" i="1"/>
  <c r="D812" i="1"/>
  <c r="D802" i="1"/>
  <c r="D685" i="1"/>
  <c r="D462" i="1"/>
  <c r="D29" i="1"/>
  <c r="D800" i="1"/>
  <c r="D10" i="1"/>
  <c r="D715" i="1"/>
  <c r="D921" i="1"/>
  <c r="D427" i="1"/>
  <c r="D433" i="1"/>
  <c r="D530" i="1"/>
  <c r="D249" i="1"/>
  <c r="D346" i="1"/>
  <c r="D426" i="1"/>
  <c r="D923" i="1"/>
  <c r="D730" i="1"/>
  <c r="D419" i="1"/>
  <c r="D457" i="1"/>
  <c r="D185" i="1"/>
  <c r="D24" i="1"/>
  <c r="D978" i="1"/>
  <c r="D200" i="1"/>
  <c r="D473" i="1"/>
  <c r="D328" i="1"/>
  <c r="D991" i="1"/>
  <c r="D500" i="1"/>
  <c r="D572" i="1"/>
  <c r="D459" i="1"/>
  <c r="D421" i="1"/>
  <c r="D257" i="1"/>
  <c r="D243" i="1"/>
  <c r="D159" i="1"/>
  <c r="D705" i="1"/>
  <c r="D315" i="1"/>
  <c r="D707" i="1"/>
  <c r="D611" i="1"/>
  <c r="D392" i="1"/>
  <c r="D319" i="1"/>
  <c r="D965" i="1"/>
  <c r="D456" i="1"/>
  <c r="D521" i="1"/>
  <c r="D65" i="1"/>
  <c r="D50" i="1"/>
  <c r="D438" i="1"/>
  <c r="D775" i="1"/>
  <c r="D343" i="1"/>
  <c r="D823" i="1"/>
  <c r="D133" i="1"/>
  <c r="D267" i="1"/>
  <c r="D969" i="1"/>
  <c r="D455" i="1"/>
  <c r="D175" i="1"/>
  <c r="D214" i="1"/>
  <c r="D75" i="1"/>
  <c r="D970" i="1"/>
  <c r="D886" i="1"/>
  <c r="D107" i="1"/>
  <c r="D402" i="1"/>
  <c r="D814" i="1"/>
  <c r="D354" i="1"/>
  <c r="D759" i="1"/>
  <c r="D940" i="1"/>
  <c r="D635" i="1"/>
  <c r="D475" i="1"/>
  <c r="D532" i="1"/>
  <c r="D719" i="1"/>
  <c r="D364" i="1"/>
  <c r="D533" i="1"/>
  <c r="D519" i="1"/>
  <c r="D470" i="1"/>
  <c r="D600" i="1"/>
  <c r="D420" i="1"/>
  <c r="D642" i="1"/>
  <c r="D887" i="1"/>
  <c r="D341" i="1"/>
  <c r="D980" i="1"/>
  <c r="D250" i="1"/>
  <c r="D938" i="1"/>
  <c r="D504" i="1"/>
  <c r="D699" i="1"/>
  <c r="D100" i="1"/>
  <c r="D914" i="1"/>
  <c r="D97" i="1"/>
  <c r="D955" i="1"/>
  <c r="D964" i="1"/>
  <c r="D655" i="1"/>
  <c r="D734" i="1"/>
  <c r="D977" i="1"/>
  <c r="D135" i="1"/>
  <c r="D799" i="1"/>
  <c r="D672" i="1"/>
  <c r="D827" i="1"/>
  <c r="D338" i="1"/>
  <c r="D67" i="1"/>
  <c r="D844" i="1"/>
  <c r="D213" i="1"/>
  <c r="D709" i="1"/>
  <c r="D347" i="1"/>
  <c r="D20" i="1"/>
  <c r="D640" i="1"/>
  <c r="D484" i="1"/>
  <c r="D772" i="1"/>
  <c r="D155" i="1"/>
  <c r="D156" i="1"/>
  <c r="D843" i="1"/>
  <c r="D778" i="1"/>
  <c r="D551" i="1"/>
  <c r="D852" i="1"/>
  <c r="D194" i="1"/>
  <c r="D971" i="1"/>
  <c r="D552" i="1"/>
  <c r="D201" i="1"/>
  <c r="D54" i="1"/>
  <c r="D477" i="1"/>
  <c r="D452" i="1"/>
  <c r="D737" i="1"/>
  <c r="D896" i="1"/>
  <c r="D173" i="1"/>
  <c r="D31" i="1"/>
  <c r="D126" i="1"/>
  <c r="D664" i="1"/>
  <c r="D859" i="1"/>
  <c r="D25" i="1"/>
  <c r="D564" i="1"/>
  <c r="D43" i="1"/>
  <c r="D161" i="1"/>
  <c r="D835" i="1"/>
  <c r="D210" i="1"/>
  <c r="D952" i="1"/>
  <c r="D506" i="1"/>
  <c r="D269" i="1"/>
  <c r="D401" i="1"/>
  <c r="D81" i="1"/>
  <c r="D483" i="1"/>
  <c r="D910" i="1"/>
  <c r="D294" i="1"/>
  <c r="D101" i="1"/>
  <c r="D513" i="1"/>
  <c r="D985" i="1"/>
  <c r="D417" i="1"/>
  <c r="D311" i="1"/>
  <c r="D857" i="1"/>
  <c r="D396" i="1"/>
  <c r="D490" i="1"/>
  <c r="D116" i="1"/>
  <c r="D357" i="1"/>
  <c r="D8" i="1"/>
  <c r="D797" i="1"/>
  <c r="D394" i="1"/>
  <c r="D767" i="1"/>
  <c r="D279" i="1"/>
  <c r="D95" i="1"/>
  <c r="D613" i="1"/>
  <c r="D143" i="1"/>
  <c r="D258" i="1"/>
  <c r="D323" i="1"/>
  <c r="D349" i="1"/>
  <c r="D390" i="1"/>
  <c r="D174" i="1"/>
  <c r="D617" i="1"/>
  <c r="D538" i="1"/>
  <c r="D660" i="1"/>
  <c r="D880" i="1"/>
  <c r="D595" i="1"/>
  <c r="D371" i="1"/>
  <c r="D663" i="1"/>
  <c r="D350" i="1"/>
  <c r="D204" i="1"/>
  <c r="D146" i="1"/>
  <c r="D66" i="1"/>
  <c r="D466" i="1"/>
  <c r="D518" i="1"/>
  <c r="D967" i="1"/>
  <c r="D305" i="1"/>
  <c r="D535" i="1"/>
  <c r="D758" i="1"/>
  <c r="D317" i="1"/>
  <c r="D724" i="1"/>
  <c r="D499" i="1"/>
  <c r="D639" i="1"/>
  <c r="D515" i="1"/>
  <c r="D593" i="1"/>
  <c r="D167" i="1"/>
  <c r="D15" i="1"/>
  <c r="D606" i="1"/>
  <c r="D225" i="1"/>
  <c r="D987" i="1"/>
  <c r="D286" i="1"/>
  <c r="D754" i="1"/>
  <c r="D882" i="1"/>
  <c r="D669" i="1"/>
  <c r="D437" i="1"/>
  <c r="D314" i="1"/>
  <c r="D224" i="1"/>
  <c r="D670" i="1"/>
  <c r="D35" i="1"/>
  <c r="D330" i="1"/>
  <c r="D103" i="1"/>
  <c r="D4" i="1"/>
  <c r="D309" i="1"/>
  <c r="D375" i="1"/>
  <c r="D981" i="1"/>
  <c r="D874" i="1"/>
  <c r="D577" i="1"/>
  <c r="D701" i="1"/>
  <c r="D439" i="1"/>
  <c r="D30" i="1"/>
  <c r="D666" i="1"/>
  <c r="D561" i="1"/>
  <c r="D79" i="1"/>
  <c r="D190" i="1"/>
  <c r="D485" i="1"/>
  <c r="D335" i="1"/>
  <c r="D227" i="1"/>
  <c r="D273" i="1"/>
  <c r="D507" i="1"/>
  <c r="D408" i="1"/>
  <c r="D240" i="1"/>
  <c r="D527" i="1"/>
  <c r="D501" i="1"/>
  <c r="D19" i="1"/>
  <c r="D369" i="1"/>
  <c r="D615" i="1"/>
  <c r="D558" i="1"/>
  <c r="D645" i="1"/>
  <c r="D687" i="1"/>
  <c r="D833" i="1"/>
  <c r="D745" i="1"/>
  <c r="D542" i="1"/>
  <c r="D834" i="1"/>
  <c r="D263" i="1"/>
  <c r="D32" i="1"/>
  <c r="D756" i="1"/>
  <c r="D749" i="1"/>
  <c r="D712" i="1"/>
  <c r="D324" i="1"/>
  <c r="D603" i="1"/>
  <c r="D181" i="1"/>
  <c r="D278" i="1"/>
  <c r="D163" i="1"/>
  <c r="D592" i="1"/>
  <c r="D865" i="1"/>
  <c r="D742" i="1"/>
  <c r="D574" i="1"/>
  <c r="D691" i="1"/>
  <c r="D493" i="1"/>
  <c r="D761" i="1"/>
  <c r="D566" i="1"/>
  <c r="D983" i="1"/>
  <c r="D7" i="1"/>
  <c r="D268" i="1"/>
  <c r="D828" i="1"/>
  <c r="D608" i="1"/>
  <c r="D945" i="1"/>
  <c r="D935" i="1"/>
  <c r="D229" i="1"/>
  <c r="D580" i="1"/>
  <c r="D22" i="1"/>
  <c r="D825" i="1"/>
  <c r="D114" i="1"/>
  <c r="D310" i="1"/>
  <c r="D863" i="1"/>
  <c r="D984" i="1"/>
  <c r="D202" i="1"/>
  <c r="D589" i="1"/>
  <c r="D340" i="1"/>
  <c r="D326" i="1"/>
  <c r="D386" i="1"/>
  <c r="D514" i="1"/>
  <c r="D757" i="1"/>
  <c r="D939" i="1"/>
  <c r="D643" i="1"/>
  <c r="D329" i="1"/>
  <c r="D841" i="1"/>
  <c r="D918" i="1"/>
  <c r="D445" i="1"/>
  <c r="D308" i="1"/>
  <c r="D902" i="1"/>
  <c r="D195" i="1"/>
  <c r="D123" i="1"/>
  <c r="D41" i="1"/>
  <c r="D936" i="1"/>
  <c r="D801" i="1"/>
  <c r="D804" i="1"/>
  <c r="D212" i="1"/>
  <c r="D562" i="1"/>
  <c r="D884" i="1"/>
  <c r="D648" i="1"/>
  <c r="D837" i="1"/>
  <c r="D223" i="1"/>
  <c r="D424" i="1"/>
  <c r="D154" i="1"/>
  <c r="D166" i="1"/>
  <c r="D140" i="1"/>
  <c r="D695" i="1"/>
  <c r="D281" i="1"/>
  <c r="D467" i="1"/>
  <c r="D373" i="1"/>
  <c r="D379" i="1"/>
  <c r="D571" i="1"/>
  <c r="D179" i="1"/>
  <c r="D403" i="1"/>
  <c r="D559" i="1"/>
  <c r="D205" i="1"/>
  <c r="D137" i="1"/>
  <c r="D926" i="1"/>
  <c r="D147" i="1"/>
  <c r="D867" i="1"/>
  <c r="D729" i="1"/>
  <c r="D129" i="1"/>
  <c r="D721" i="1"/>
  <c r="D624" i="1"/>
  <c r="D84" i="1"/>
  <c r="D889" i="1"/>
  <c r="D788" i="1"/>
  <c r="D671" i="1"/>
  <c r="D769" i="1"/>
  <c r="D235" i="1"/>
  <c r="D899" i="1"/>
  <c r="D789" i="1"/>
  <c r="D998" i="1"/>
  <c r="D432" i="1"/>
  <c r="D374" i="1"/>
  <c r="D37" i="1"/>
  <c r="D170" i="1"/>
  <c r="D339" i="1"/>
  <c r="D581" i="1"/>
  <c r="D961" i="1"/>
  <c r="D686" i="1"/>
  <c r="D583" i="1"/>
  <c r="D11" i="1"/>
  <c r="D590" i="1"/>
  <c r="D17" i="1"/>
  <c r="D365" i="1"/>
  <c r="D904" i="1"/>
  <c r="D39" i="1"/>
  <c r="D684" i="1"/>
  <c r="D623" i="1"/>
  <c r="D128" i="1"/>
  <c r="D182" i="1"/>
  <c r="D82" i="1"/>
  <c r="D736" i="1"/>
  <c r="D111" i="1"/>
  <c r="C847" i="1"/>
  <c r="C973" i="1"/>
  <c r="C609" i="1"/>
  <c r="C662" i="1"/>
  <c r="C698" i="1"/>
  <c r="C810" i="1"/>
  <c r="C862" i="1"/>
  <c r="C52" i="1"/>
  <c r="C244" i="1"/>
  <c r="C881" i="1"/>
  <c r="C176" i="1"/>
  <c r="C415" i="1"/>
  <c r="C959" i="1"/>
  <c r="C963" i="1"/>
  <c r="C878" i="1"/>
  <c r="C711" i="1"/>
  <c r="C683" i="1"/>
  <c r="C299" i="1"/>
  <c r="C160" i="1"/>
  <c r="C968" i="1"/>
  <c r="C218" i="1"/>
  <c r="C740" i="1"/>
  <c r="C99" i="1"/>
  <c r="C14" i="1"/>
  <c r="C246" i="1"/>
  <c r="C423" i="1"/>
  <c r="C706" i="1"/>
  <c r="C376" i="1"/>
  <c r="C180" i="1"/>
  <c r="C597" i="1"/>
  <c r="C992" i="1"/>
  <c r="C783" i="1"/>
  <c r="C21" i="1"/>
  <c r="C411" i="1"/>
  <c r="C512" i="1"/>
  <c r="C602" i="1"/>
  <c r="C794" i="1"/>
  <c r="C713" i="1"/>
  <c r="C520" i="1"/>
  <c r="C861" i="1"/>
  <c r="C876" i="1"/>
  <c r="C471" i="1"/>
  <c r="C870" i="1"/>
  <c r="C494" i="1"/>
  <c r="C509" i="1"/>
  <c r="C157" i="1"/>
  <c r="C626" i="1"/>
  <c r="C948" i="1"/>
  <c r="C358" i="1"/>
  <c r="C264" i="1"/>
  <c r="C830" i="1"/>
  <c r="C476" i="1"/>
  <c r="C893" i="1"/>
  <c r="C237" i="1"/>
  <c r="C578" i="1"/>
  <c r="C125" i="1"/>
  <c r="C141" i="1"/>
  <c r="C489" i="1"/>
  <c r="C197" i="1"/>
  <c r="C748" i="1"/>
  <c r="C13" i="1"/>
  <c r="C908" i="1"/>
  <c r="C946" i="1"/>
  <c r="C80" i="1"/>
  <c r="C692" i="1"/>
  <c r="C582" i="1"/>
  <c r="C894" i="1"/>
  <c r="C682" i="1"/>
  <c r="C864" i="1"/>
  <c r="C469" i="1"/>
  <c r="C601" i="1"/>
  <c r="C368" i="1"/>
  <c r="C118" i="1"/>
  <c r="C486" i="1"/>
  <c r="C779" i="1"/>
  <c r="C481" i="1"/>
  <c r="C496" i="1"/>
  <c r="C727" i="1"/>
  <c r="C59" i="1"/>
  <c r="C619" i="1"/>
  <c r="C18" i="1"/>
  <c r="C46" i="1"/>
  <c r="C102" i="1"/>
  <c r="C906" i="1"/>
  <c r="C150" i="1"/>
  <c r="C117" i="1"/>
  <c r="C770" i="1"/>
  <c r="C266" i="1"/>
  <c r="C659" i="1"/>
  <c r="C777" i="1"/>
  <c r="C355" i="1"/>
  <c r="C474" i="1"/>
  <c r="C614" i="1"/>
  <c r="C112" i="1"/>
  <c r="C38" i="1"/>
  <c r="C221" i="1"/>
  <c r="C702" i="1"/>
  <c r="C44" i="1"/>
  <c r="C536" i="1"/>
  <c r="C933" i="1"/>
  <c r="C690" i="1"/>
  <c r="C960" i="1"/>
  <c r="C544" i="1"/>
  <c r="C446" i="1"/>
  <c r="C616" i="1"/>
  <c r="C919" i="1"/>
  <c r="C723" i="1"/>
  <c r="C209" i="1"/>
  <c r="C546" i="1"/>
  <c r="C722" i="1"/>
  <c r="C92" i="1"/>
  <c r="C304" i="1"/>
  <c r="C454" i="1"/>
  <c r="C106" i="1"/>
  <c r="C360" i="1"/>
  <c r="C808" i="1"/>
  <c r="C630" i="1"/>
  <c r="C809" i="1"/>
  <c r="C653" i="1"/>
  <c r="C217" i="1"/>
  <c r="C256" i="1"/>
  <c r="C634" i="1"/>
  <c r="C184" i="1"/>
  <c r="C404" i="1"/>
  <c r="C188" i="1"/>
  <c r="C449" i="1"/>
  <c r="C491" i="1"/>
  <c r="C708" i="1"/>
  <c r="C813" i="1"/>
  <c r="C293" i="1"/>
  <c r="C307" i="1"/>
  <c r="C879" i="1"/>
  <c r="C944" i="1"/>
  <c r="C849" i="1"/>
  <c r="C796" i="1"/>
  <c r="C127" i="1"/>
  <c r="C784" i="1"/>
  <c r="C48" i="1"/>
  <c r="C413" i="1"/>
  <c r="C168" i="1"/>
  <c r="C922" i="1"/>
  <c r="C461" i="1"/>
  <c r="C464" i="1"/>
  <c r="C164" i="1"/>
  <c r="C344" i="1"/>
  <c r="C277" i="1"/>
  <c r="C646" i="1"/>
  <c r="C232" i="1"/>
  <c r="C986" i="1"/>
  <c r="C49" i="1"/>
  <c r="C842" i="1"/>
  <c r="C45" i="1"/>
  <c r="C261" i="1"/>
  <c r="C620" i="1"/>
  <c r="C108" i="1"/>
  <c r="C511" i="1"/>
  <c r="C845" i="1"/>
  <c r="C579" i="1"/>
  <c r="C395" i="1"/>
  <c r="C787" i="1"/>
  <c r="C367" i="1"/>
  <c r="C995" i="1"/>
  <c r="C633" i="1"/>
  <c r="C303" i="1"/>
  <c r="C764" i="1"/>
  <c r="C295" i="1"/>
  <c r="C854" i="1"/>
  <c r="C131" i="1"/>
  <c r="C573" i="1"/>
  <c r="C110" i="1"/>
  <c r="C296" i="1"/>
  <c r="C149" i="1"/>
  <c r="C738" i="1"/>
  <c r="C798" i="1"/>
  <c r="C479" i="1"/>
  <c r="C781" i="1"/>
  <c r="C252" i="1"/>
  <c r="C272" i="1"/>
  <c r="C1000" i="1"/>
  <c r="C162" i="1"/>
  <c r="C537" i="1"/>
  <c r="C313" i="1"/>
  <c r="C979" i="1"/>
  <c r="C848" i="1"/>
  <c r="C492" i="1"/>
  <c r="C556" i="1"/>
  <c r="C673" i="1"/>
  <c r="C929" i="1"/>
  <c r="C668" i="1"/>
  <c r="C208" i="1"/>
  <c r="C892" i="1"/>
  <c r="C883" i="1"/>
  <c r="C318" i="1"/>
  <c r="C911" i="1"/>
  <c r="C270" i="1"/>
  <c r="C826" i="1"/>
  <c r="C824" i="1"/>
  <c r="C85" i="1"/>
  <c r="C332" i="1"/>
  <c r="C238" i="1"/>
  <c r="C774" i="1"/>
  <c r="C625" i="1"/>
  <c r="C275" i="1"/>
  <c r="C153" i="1"/>
  <c r="C409" i="1"/>
  <c r="C720" i="1"/>
  <c r="C253" i="1"/>
  <c r="C33" i="1"/>
  <c r="C735" i="1"/>
  <c r="C3" i="1"/>
  <c r="C553" i="1"/>
  <c r="C450" i="1"/>
  <c r="C62" i="1"/>
  <c r="C98" i="1"/>
  <c r="C478" i="1"/>
  <c r="C388" i="1"/>
  <c r="C285" i="1"/>
  <c r="C370" i="1"/>
  <c r="C832" i="1"/>
  <c r="C656" i="1"/>
  <c r="C694" i="1"/>
  <c r="C920" i="1"/>
  <c r="C517" i="1"/>
  <c r="C976" i="1"/>
  <c r="C177" i="1"/>
  <c r="C230" i="1"/>
  <c r="C688" i="1"/>
  <c r="C178" i="1"/>
  <c r="C703" i="1"/>
  <c r="C993" i="1"/>
  <c r="C905" i="1"/>
  <c r="C5" i="1"/>
  <c r="C122" i="1"/>
  <c r="C927" i="1"/>
  <c r="C689" i="1"/>
  <c r="C916" i="1"/>
  <c r="C962" i="1"/>
  <c r="C529" i="1"/>
  <c r="C907" i="1"/>
  <c r="C288" i="1"/>
  <c r="C678" i="1"/>
  <c r="C596" i="1"/>
  <c r="C68" i="1"/>
  <c r="C320" i="1"/>
  <c r="C716" i="1"/>
  <c r="C251" i="1"/>
  <c r="C819" i="1"/>
  <c r="C203" i="1"/>
  <c r="C196" i="1"/>
  <c r="C336" i="1"/>
  <c r="C665" i="1"/>
  <c r="C337" i="1"/>
  <c r="C435" i="1"/>
  <c r="C751" i="1"/>
  <c r="C872" i="1"/>
  <c r="C871" i="1"/>
  <c r="C86" i="1"/>
  <c r="C397" i="1"/>
  <c r="C498" i="1"/>
  <c r="C416" i="1"/>
  <c r="C430" i="1"/>
  <c r="C345" i="1"/>
  <c r="C934" i="1"/>
  <c r="C57" i="1"/>
  <c r="C94" i="1"/>
  <c r="C105" i="1"/>
  <c r="C869" i="1"/>
  <c r="C925" i="1"/>
  <c r="C443" i="1"/>
  <c r="C516" i="1"/>
  <c r="C851" i="1"/>
  <c r="C650" i="1"/>
  <c r="C747" i="1"/>
  <c r="C753" i="1"/>
  <c r="C265" i="1"/>
  <c r="C377" i="1"/>
  <c r="C811" i="1"/>
  <c r="C412" i="1"/>
  <c r="C760" i="1"/>
  <c r="C599" i="1"/>
  <c r="C353" i="1"/>
  <c r="C651" i="1"/>
  <c r="C897" i="1"/>
  <c r="C383" i="1"/>
  <c r="C239" i="1"/>
  <c r="C868" i="1"/>
  <c r="C942" i="1"/>
  <c r="C96" i="1"/>
  <c r="C254" i="1"/>
  <c r="C982" i="1"/>
  <c r="C877" i="1"/>
  <c r="C676" i="1"/>
  <c r="C773" i="1"/>
  <c r="C436" i="1"/>
  <c r="C322" i="1"/>
  <c r="C325" i="1"/>
  <c r="C718" i="1"/>
  <c r="C444" i="1"/>
  <c r="C928" i="1"/>
  <c r="C776" i="1"/>
  <c r="C468" i="1"/>
  <c r="C997" i="1"/>
  <c r="C458" i="1"/>
  <c r="C631" i="1"/>
  <c r="C366" i="1"/>
  <c r="C586" i="1"/>
  <c r="C414" i="1"/>
  <c r="C27" i="1"/>
  <c r="C226" i="1"/>
  <c r="C83" i="1"/>
  <c r="C316" i="1"/>
  <c r="C792" i="1"/>
  <c r="C750" i="1"/>
  <c r="C575" i="1"/>
  <c r="C710" i="1"/>
  <c r="C932" i="1"/>
  <c r="C191" i="1"/>
  <c r="C248" i="1"/>
  <c r="C924" i="1"/>
  <c r="C550" i="1"/>
  <c r="C930" i="1"/>
  <c r="C941" i="1"/>
  <c r="C183" i="1"/>
  <c r="C327" i="1"/>
  <c r="C302" i="1"/>
  <c r="C271" i="1"/>
  <c r="C791" i="1"/>
  <c r="C931" i="1"/>
  <c r="C292" i="1"/>
  <c r="C891" i="1"/>
  <c r="C755" i="1"/>
  <c r="C909" i="1"/>
  <c r="C169" i="1"/>
  <c r="C917" i="1"/>
  <c r="C55" i="1"/>
  <c r="C679" i="1"/>
  <c r="C441" i="1"/>
  <c r="C836" i="1"/>
  <c r="C206" i="1"/>
  <c r="C657" i="1"/>
  <c r="C193" i="1"/>
  <c r="C171" i="1"/>
  <c r="C954" i="1"/>
  <c r="C136" i="1"/>
  <c r="C888" i="1"/>
  <c r="C422" i="1"/>
  <c r="C89" i="1"/>
  <c r="C187" i="1"/>
  <c r="C211" i="1"/>
  <c r="C280" i="1"/>
  <c r="C543" i="1"/>
  <c r="C637" i="1"/>
  <c r="C732" i="1"/>
  <c r="C63" i="1"/>
  <c r="C547" i="1"/>
  <c r="C674" i="1"/>
  <c r="C629" i="1"/>
  <c r="C453" i="1"/>
  <c r="C818" i="1"/>
  <c r="C60" i="1"/>
  <c r="C104" i="1"/>
  <c r="C568" i="1"/>
  <c r="C361" i="1"/>
  <c r="C545" i="1"/>
  <c r="C901" i="1"/>
  <c r="C989" i="1"/>
  <c r="C359" i="1"/>
  <c r="C134" i="1"/>
  <c r="C215" i="1"/>
  <c r="C866" i="1"/>
  <c r="C903" i="1"/>
  <c r="C260" i="1"/>
  <c r="C714" i="1"/>
  <c r="C297" i="1"/>
  <c r="C621" i="1"/>
  <c r="C817" i="1"/>
  <c r="C505" i="1"/>
  <c r="C912" i="1"/>
  <c r="C658" i="1"/>
  <c r="C482" i="1"/>
  <c r="C588" i="1"/>
  <c r="C790" i="1"/>
  <c r="C387" i="1"/>
  <c r="C247" i="1"/>
  <c r="C12" i="1"/>
  <c r="C565" i="1"/>
  <c r="C145" i="1"/>
  <c r="C93" i="1"/>
  <c r="C276" i="1"/>
  <c r="C990" i="1"/>
  <c r="C71" i="1"/>
  <c r="C233" i="1"/>
  <c r="C569" i="1"/>
  <c r="C76" i="1"/>
  <c r="C858" i="1"/>
  <c r="C816" i="1"/>
  <c r="C627" i="1"/>
  <c r="C838" i="1"/>
  <c r="C855" i="1"/>
  <c r="C228" i="1"/>
  <c r="C793" i="1"/>
  <c r="C612" i="1"/>
  <c r="C591" i="1"/>
  <c r="C158" i="1"/>
  <c r="C728" i="1"/>
  <c r="C510" i="1"/>
  <c r="C731" i="1"/>
  <c r="C42" i="1"/>
  <c r="C121" i="1"/>
  <c r="C622" i="1"/>
  <c r="C301" i="1"/>
  <c r="C312" i="1"/>
  <c r="C644" i="1"/>
  <c r="C937" i="1"/>
  <c r="C873" i="1"/>
  <c r="C120" i="1"/>
  <c r="C410" i="1"/>
  <c r="C605" i="1"/>
  <c r="C950" i="1"/>
  <c r="C996" i="1"/>
  <c r="C525" i="1"/>
  <c r="C820" i="1"/>
  <c r="C113" i="1"/>
  <c r="C632" i="1"/>
  <c r="C782" i="1"/>
  <c r="C384" i="1"/>
  <c r="C236" i="1"/>
  <c r="C9" i="1"/>
  <c r="C405" i="1"/>
  <c r="C216" i="1"/>
  <c r="C988" i="1"/>
  <c r="C846" i="1"/>
  <c r="C898" i="1"/>
  <c r="C34" i="1"/>
  <c r="C803" i="1"/>
  <c r="C245" i="1"/>
  <c r="C958" i="1"/>
  <c r="C480" i="1"/>
  <c r="C186" i="1"/>
  <c r="C234" i="1"/>
  <c r="C805" i="1"/>
  <c r="C399" i="1"/>
  <c r="C822" i="1"/>
  <c r="C951" i="1"/>
  <c r="C557" i="1"/>
  <c r="C488" i="1"/>
  <c r="C953" i="1"/>
  <c r="C495" i="1"/>
  <c r="C725" i="1"/>
  <c r="C47" i="1"/>
  <c r="C649" i="1"/>
  <c r="C72" i="1"/>
  <c r="C860" i="1"/>
  <c r="C497" i="1"/>
  <c r="C219" i="1"/>
  <c r="C434" i="1"/>
  <c r="C138" i="1"/>
  <c r="C795" i="1"/>
  <c r="C677" i="1"/>
  <c r="C780" i="1"/>
  <c r="C765" i="1"/>
  <c r="C428" i="1"/>
  <c r="C974" i="1"/>
  <c r="C762" i="1"/>
  <c r="C524" i="1"/>
  <c r="C429" i="1"/>
  <c r="C64" i="1"/>
  <c r="C652" i="1"/>
  <c r="C618" i="1"/>
  <c r="C785" i="1"/>
  <c r="C16" i="1"/>
  <c r="C850" i="1"/>
  <c r="C465" i="1"/>
  <c r="C956" i="1"/>
  <c r="C342" i="1"/>
  <c r="C700" i="1"/>
  <c r="C733" i="1"/>
  <c r="C356" i="1"/>
  <c r="C503" i="1"/>
  <c r="C560" i="1"/>
  <c r="C693" i="1"/>
  <c r="C697" i="1"/>
  <c r="C975" i="1"/>
  <c r="C88" i="1"/>
  <c r="C746" i="1"/>
  <c r="C447" i="1"/>
  <c r="C531" i="1"/>
  <c r="C598" i="1"/>
  <c r="C913" i="1"/>
  <c r="C594" i="1"/>
  <c r="C502" i="1"/>
  <c r="C109" i="1"/>
  <c r="C291" i="1"/>
  <c r="C451" i="1"/>
  <c r="C51" i="1"/>
  <c r="C262" i="1"/>
  <c r="C528" i="1"/>
  <c r="C966" i="1"/>
  <c r="C839" i="1"/>
  <c r="C636" i="1"/>
  <c r="C763" i="1"/>
  <c r="C189" i="1"/>
  <c r="C628" i="1"/>
  <c r="C957" i="1"/>
  <c r="C853" i="1"/>
  <c r="C165" i="1"/>
  <c r="C393" i="1"/>
  <c r="C508" i="1"/>
  <c r="C549" i="1"/>
  <c r="C391" i="1"/>
  <c r="C151" i="1"/>
  <c r="C290" i="1"/>
  <c r="C840" i="1"/>
  <c r="C460" i="1"/>
  <c r="C198" i="1"/>
  <c r="C752" i="1"/>
  <c r="C641" i="1"/>
  <c r="C949" i="1"/>
  <c r="C6" i="1"/>
  <c r="C389" i="1"/>
  <c r="C999" i="1"/>
  <c r="C282" i="1"/>
  <c r="C259" i="1"/>
  <c r="C40" i="1"/>
  <c r="C61" i="1"/>
  <c r="C741" i="1"/>
  <c r="C487" i="1"/>
  <c r="C398" i="1"/>
  <c r="C915" i="1"/>
  <c r="C74" i="1"/>
  <c r="C526" i="1"/>
  <c r="C132" i="1"/>
  <c r="C548" i="1"/>
  <c r="C77" i="1"/>
  <c r="C829" i="1"/>
  <c r="C570" i="1"/>
  <c r="C298" i="1"/>
  <c r="C555" i="1"/>
  <c r="C69" i="1"/>
  <c r="C431" i="1"/>
  <c r="C534" i="1"/>
  <c r="C442" i="1"/>
  <c r="C26" i="1"/>
  <c r="C576" i="1"/>
  <c r="C231" i="1"/>
  <c r="C821" i="1"/>
  <c r="C744" i="1"/>
  <c r="C418" i="1"/>
  <c r="C73" i="1"/>
  <c r="C472" i="1"/>
  <c r="C53" i="1"/>
  <c r="C768" i="1"/>
  <c r="C142" i="1"/>
  <c r="C207" i="1"/>
  <c r="C567" i="1"/>
  <c r="C440" i="1"/>
  <c r="C242" i="1"/>
  <c r="C1001" i="1"/>
  <c r="C563" i="1"/>
  <c r="C584" i="1"/>
  <c r="C726" i="1"/>
  <c r="C400" i="1"/>
  <c r="C192" i="1"/>
  <c r="C152" i="1"/>
  <c r="C90" i="1"/>
  <c r="C539" i="1"/>
  <c r="C348" i="1"/>
  <c r="C380" i="1"/>
  <c r="C381" i="1"/>
  <c r="C56" i="1"/>
  <c r="C717" i="1"/>
  <c r="C289" i="1"/>
  <c r="C334" i="1"/>
  <c r="C771" i="1"/>
  <c r="C87" i="1"/>
  <c r="C885" i="1"/>
  <c r="C587" i="1"/>
  <c r="C287" i="1"/>
  <c r="C78" i="1"/>
  <c r="C119" i="1"/>
  <c r="C139" i="1"/>
  <c r="C523" i="1"/>
  <c r="C875" i="1"/>
  <c r="C681" i="1"/>
  <c r="C58" i="1"/>
  <c r="C554" i="1"/>
  <c r="C696" i="1"/>
  <c r="C739" i="1"/>
  <c r="C807" i="1"/>
  <c r="C972" i="1"/>
  <c r="C947" i="1"/>
  <c r="C661" i="1"/>
  <c r="C333" i="1"/>
  <c r="C148" i="1"/>
  <c r="C900" i="1"/>
  <c r="C363" i="1"/>
  <c r="C425" i="1"/>
  <c r="C124" i="1"/>
  <c r="C199" i="1"/>
  <c r="C743" i="1"/>
  <c r="C28" i="1"/>
  <c r="C463" i="1"/>
  <c r="C306" i="1"/>
  <c r="C448" i="1"/>
  <c r="C667" i="1"/>
  <c r="C806" i="1"/>
  <c r="C91" i="1"/>
  <c r="C36" i="1"/>
  <c r="C994" i="1"/>
  <c r="C856" i="1"/>
  <c r="C407" i="1"/>
  <c r="C704" i="1"/>
  <c r="C766" i="1"/>
  <c r="C23" i="1"/>
  <c r="C284" i="1"/>
  <c r="C351" i="1"/>
  <c r="C943" i="1"/>
  <c r="C222" i="1"/>
  <c r="C647" i="1"/>
  <c r="C831" i="1"/>
  <c r="C362" i="1"/>
  <c r="C815" i="1"/>
  <c r="C352" i="1"/>
  <c r="C70" i="1"/>
  <c r="C274" i="1"/>
  <c r="C220" i="1"/>
  <c r="C172" i="1"/>
  <c r="C541" i="1"/>
  <c r="C382" i="1"/>
  <c r="C144" i="1"/>
  <c r="C300" i="1"/>
  <c r="C406" i="1"/>
  <c r="C241" i="1"/>
  <c r="C378" i="1"/>
  <c r="C786" i="1"/>
  <c r="C331" i="1"/>
  <c r="C372" i="1"/>
  <c r="C638" i="1"/>
  <c r="C654" i="1"/>
  <c r="C115" i="1"/>
  <c r="C604" i="1"/>
  <c r="C283" i="1"/>
  <c r="C321" i="1"/>
  <c r="C130" i="1"/>
  <c r="C675" i="1"/>
  <c r="C607" i="1"/>
  <c r="C385" i="1"/>
  <c r="C895" i="1"/>
  <c r="C2" i="1"/>
  <c r="C585" i="1"/>
  <c r="C680" i="1"/>
  <c r="C610" i="1"/>
  <c r="C522" i="1"/>
  <c r="C540" i="1"/>
  <c r="C255" i="1"/>
  <c r="C890" i="1"/>
  <c r="C812" i="1"/>
  <c r="C802" i="1"/>
  <c r="C685" i="1"/>
  <c r="C462" i="1"/>
  <c r="C29" i="1"/>
  <c r="C800" i="1"/>
  <c r="C10" i="1"/>
  <c r="C715" i="1"/>
  <c r="C921" i="1"/>
  <c r="C427" i="1"/>
  <c r="C433" i="1"/>
  <c r="C530" i="1"/>
  <c r="C249" i="1"/>
  <c r="C346" i="1"/>
  <c r="C426" i="1"/>
  <c r="C923" i="1"/>
  <c r="C730" i="1"/>
  <c r="C419" i="1"/>
  <c r="C457" i="1"/>
  <c r="C185" i="1"/>
  <c r="C24" i="1"/>
  <c r="C978" i="1"/>
  <c r="C200" i="1"/>
  <c r="C473" i="1"/>
  <c r="C328" i="1"/>
  <c r="C991" i="1"/>
  <c r="C500" i="1"/>
  <c r="C572" i="1"/>
  <c r="C459" i="1"/>
  <c r="C421" i="1"/>
  <c r="C257" i="1"/>
  <c r="C243" i="1"/>
  <c r="C159" i="1"/>
  <c r="C705" i="1"/>
  <c r="C315" i="1"/>
  <c r="C707" i="1"/>
  <c r="C611" i="1"/>
  <c r="C392" i="1"/>
  <c r="C319" i="1"/>
  <c r="C965" i="1"/>
  <c r="C456" i="1"/>
  <c r="C521" i="1"/>
  <c r="C65" i="1"/>
  <c r="C50" i="1"/>
  <c r="C438" i="1"/>
  <c r="C775" i="1"/>
  <c r="C343" i="1"/>
  <c r="C823" i="1"/>
  <c r="C133" i="1"/>
  <c r="C267" i="1"/>
  <c r="C969" i="1"/>
  <c r="C455" i="1"/>
  <c r="C175" i="1"/>
  <c r="C214" i="1"/>
  <c r="C75" i="1"/>
  <c r="C970" i="1"/>
  <c r="C886" i="1"/>
  <c r="C107" i="1"/>
  <c r="C402" i="1"/>
  <c r="C814" i="1"/>
  <c r="C354" i="1"/>
  <c r="C759" i="1"/>
  <c r="C940" i="1"/>
  <c r="C635" i="1"/>
  <c r="C475" i="1"/>
  <c r="C532" i="1"/>
  <c r="C719" i="1"/>
  <c r="C364" i="1"/>
  <c r="C533" i="1"/>
  <c r="C519" i="1"/>
  <c r="C470" i="1"/>
  <c r="C600" i="1"/>
  <c r="C420" i="1"/>
  <c r="C642" i="1"/>
  <c r="C887" i="1"/>
  <c r="C341" i="1"/>
  <c r="C980" i="1"/>
  <c r="C250" i="1"/>
  <c r="C938" i="1"/>
  <c r="C504" i="1"/>
  <c r="C699" i="1"/>
  <c r="C100" i="1"/>
  <c r="C914" i="1"/>
  <c r="C97" i="1"/>
  <c r="C955" i="1"/>
  <c r="C964" i="1"/>
  <c r="C655" i="1"/>
  <c r="C734" i="1"/>
  <c r="C977" i="1"/>
  <c r="C135" i="1"/>
  <c r="C799" i="1"/>
  <c r="C672" i="1"/>
  <c r="C827" i="1"/>
  <c r="C338" i="1"/>
  <c r="C67" i="1"/>
  <c r="C844" i="1"/>
  <c r="C213" i="1"/>
  <c r="C709" i="1"/>
  <c r="C347" i="1"/>
  <c r="C20" i="1"/>
  <c r="C640" i="1"/>
  <c r="C484" i="1"/>
  <c r="C772" i="1"/>
  <c r="C155" i="1"/>
  <c r="C156" i="1"/>
  <c r="C843" i="1"/>
  <c r="C778" i="1"/>
  <c r="C551" i="1"/>
  <c r="C852" i="1"/>
  <c r="C194" i="1"/>
  <c r="C971" i="1"/>
  <c r="C552" i="1"/>
  <c r="C201" i="1"/>
  <c r="C54" i="1"/>
  <c r="C477" i="1"/>
  <c r="C452" i="1"/>
  <c r="C737" i="1"/>
  <c r="C896" i="1"/>
  <c r="C173" i="1"/>
  <c r="C31" i="1"/>
  <c r="C126" i="1"/>
  <c r="C664" i="1"/>
  <c r="C859" i="1"/>
  <c r="C25" i="1"/>
  <c r="C564" i="1"/>
  <c r="C43" i="1"/>
  <c r="C161" i="1"/>
  <c r="C835" i="1"/>
  <c r="C210" i="1"/>
  <c r="C952" i="1"/>
  <c r="C506" i="1"/>
  <c r="C269" i="1"/>
  <c r="C401" i="1"/>
  <c r="C81" i="1"/>
  <c r="C483" i="1"/>
  <c r="C910" i="1"/>
  <c r="C294" i="1"/>
  <c r="C101" i="1"/>
  <c r="C513" i="1"/>
  <c r="C985" i="1"/>
  <c r="C417" i="1"/>
  <c r="C311" i="1"/>
  <c r="C857" i="1"/>
  <c r="C396" i="1"/>
  <c r="C490" i="1"/>
  <c r="C116" i="1"/>
  <c r="C357" i="1"/>
  <c r="C8" i="1"/>
  <c r="C797" i="1"/>
  <c r="C394" i="1"/>
  <c r="C767" i="1"/>
  <c r="C279" i="1"/>
  <c r="C95" i="1"/>
  <c r="C613" i="1"/>
  <c r="C143" i="1"/>
  <c r="C258" i="1"/>
  <c r="C323" i="1"/>
  <c r="C349" i="1"/>
  <c r="C390" i="1"/>
  <c r="C174" i="1"/>
  <c r="C617" i="1"/>
  <c r="C538" i="1"/>
  <c r="C660" i="1"/>
  <c r="C880" i="1"/>
  <c r="C595" i="1"/>
  <c r="C371" i="1"/>
  <c r="C663" i="1"/>
  <c r="C350" i="1"/>
  <c r="C204" i="1"/>
  <c r="C146" i="1"/>
  <c r="C66" i="1"/>
  <c r="C466" i="1"/>
  <c r="C518" i="1"/>
  <c r="C967" i="1"/>
  <c r="C305" i="1"/>
  <c r="C535" i="1"/>
  <c r="C758" i="1"/>
  <c r="C317" i="1"/>
  <c r="C724" i="1"/>
  <c r="C499" i="1"/>
  <c r="C639" i="1"/>
  <c r="C515" i="1"/>
  <c r="C593" i="1"/>
  <c r="C167" i="1"/>
  <c r="C15" i="1"/>
  <c r="C606" i="1"/>
  <c r="C225" i="1"/>
  <c r="C987" i="1"/>
  <c r="C286" i="1"/>
  <c r="C754" i="1"/>
  <c r="C882" i="1"/>
  <c r="C669" i="1"/>
  <c r="C437" i="1"/>
  <c r="C314" i="1"/>
  <c r="C224" i="1"/>
  <c r="C670" i="1"/>
  <c r="C35" i="1"/>
  <c r="C330" i="1"/>
  <c r="C103" i="1"/>
  <c r="C4" i="1"/>
  <c r="C309" i="1"/>
  <c r="C375" i="1"/>
  <c r="C981" i="1"/>
  <c r="C874" i="1"/>
  <c r="C577" i="1"/>
  <c r="C701" i="1"/>
  <c r="C439" i="1"/>
  <c r="C30" i="1"/>
  <c r="C666" i="1"/>
  <c r="C561" i="1"/>
  <c r="C79" i="1"/>
  <c r="C190" i="1"/>
  <c r="C485" i="1"/>
  <c r="C335" i="1"/>
  <c r="C227" i="1"/>
  <c r="C273" i="1"/>
  <c r="C507" i="1"/>
  <c r="C408" i="1"/>
  <c r="C240" i="1"/>
  <c r="C527" i="1"/>
  <c r="C501" i="1"/>
  <c r="C19" i="1"/>
  <c r="C369" i="1"/>
  <c r="C615" i="1"/>
  <c r="C558" i="1"/>
  <c r="C645" i="1"/>
  <c r="C687" i="1"/>
  <c r="C833" i="1"/>
  <c r="C745" i="1"/>
  <c r="C542" i="1"/>
  <c r="C834" i="1"/>
  <c r="C263" i="1"/>
  <c r="C32" i="1"/>
  <c r="C756" i="1"/>
  <c r="C749" i="1"/>
  <c r="C712" i="1"/>
  <c r="C324" i="1"/>
  <c r="C603" i="1"/>
  <c r="C181" i="1"/>
  <c r="C278" i="1"/>
  <c r="C163" i="1"/>
  <c r="C592" i="1"/>
  <c r="C865" i="1"/>
  <c r="C742" i="1"/>
  <c r="C574" i="1"/>
  <c r="C691" i="1"/>
  <c r="C493" i="1"/>
  <c r="C761" i="1"/>
  <c r="C566" i="1"/>
  <c r="C983" i="1"/>
  <c r="C7" i="1"/>
  <c r="C268" i="1"/>
  <c r="C828" i="1"/>
  <c r="C608" i="1"/>
  <c r="C945" i="1"/>
  <c r="C935" i="1"/>
  <c r="C229" i="1"/>
  <c r="C580" i="1"/>
  <c r="C22" i="1"/>
  <c r="C825" i="1"/>
  <c r="C114" i="1"/>
  <c r="C310" i="1"/>
  <c r="C863" i="1"/>
  <c r="C984" i="1"/>
  <c r="C202" i="1"/>
  <c r="C589" i="1"/>
  <c r="C340" i="1"/>
  <c r="C326" i="1"/>
  <c r="C386" i="1"/>
  <c r="C514" i="1"/>
  <c r="C757" i="1"/>
  <c r="C939" i="1"/>
  <c r="C643" i="1"/>
  <c r="C329" i="1"/>
  <c r="C841" i="1"/>
  <c r="C918" i="1"/>
  <c r="C445" i="1"/>
  <c r="C308" i="1"/>
  <c r="C902" i="1"/>
  <c r="C195" i="1"/>
  <c r="C123" i="1"/>
  <c r="C41" i="1"/>
  <c r="C936" i="1"/>
  <c r="C801" i="1"/>
  <c r="C804" i="1"/>
  <c r="C212" i="1"/>
  <c r="C562" i="1"/>
  <c r="C884" i="1"/>
  <c r="C648" i="1"/>
  <c r="C837" i="1"/>
  <c r="C223" i="1"/>
  <c r="C424" i="1"/>
  <c r="C154" i="1"/>
  <c r="C166" i="1"/>
  <c r="C140" i="1"/>
  <c r="C695" i="1"/>
  <c r="C281" i="1"/>
  <c r="C467" i="1"/>
  <c r="C373" i="1"/>
  <c r="C379" i="1"/>
  <c r="C571" i="1"/>
  <c r="C179" i="1"/>
  <c r="C403" i="1"/>
  <c r="C559" i="1"/>
  <c r="C205" i="1"/>
  <c r="C137" i="1"/>
  <c r="C926" i="1"/>
  <c r="C147" i="1"/>
  <c r="C867" i="1"/>
  <c r="C729" i="1"/>
  <c r="C129" i="1"/>
  <c r="C721" i="1"/>
  <c r="C624" i="1"/>
  <c r="C84" i="1"/>
  <c r="C889" i="1"/>
  <c r="C788" i="1"/>
  <c r="C671" i="1"/>
  <c r="C769" i="1"/>
  <c r="C235" i="1"/>
  <c r="C899" i="1"/>
  <c r="C789" i="1"/>
  <c r="C998" i="1"/>
  <c r="C432" i="1"/>
  <c r="C374" i="1"/>
  <c r="C37" i="1"/>
  <c r="C170" i="1"/>
  <c r="C339" i="1"/>
  <c r="C581" i="1"/>
  <c r="C961" i="1"/>
  <c r="C686" i="1"/>
  <c r="C583" i="1"/>
  <c r="C11" i="1"/>
  <c r="C590" i="1"/>
  <c r="C17" i="1"/>
  <c r="C365" i="1"/>
  <c r="C904" i="1"/>
  <c r="C39" i="1"/>
  <c r="C684" i="1"/>
  <c r="C623" i="1"/>
  <c r="C128" i="1"/>
  <c r="C182" i="1"/>
  <c r="C82" i="1"/>
  <c r="C736" i="1"/>
  <c r="C111" i="1"/>
  <c r="B847" i="1"/>
  <c r="B973" i="1"/>
  <c r="B609" i="1"/>
  <c r="B662" i="1"/>
  <c r="B698" i="1"/>
  <c r="B810" i="1"/>
  <c r="B862" i="1"/>
  <c r="B52" i="1"/>
  <c r="B244" i="1"/>
  <c r="B881" i="1"/>
  <c r="B176" i="1"/>
  <c r="B415" i="1"/>
  <c r="B959" i="1"/>
  <c r="B963" i="1"/>
  <c r="B878" i="1"/>
  <c r="B711" i="1"/>
  <c r="B683" i="1"/>
  <c r="B299" i="1"/>
  <c r="B160" i="1"/>
  <c r="B968" i="1"/>
  <c r="B218" i="1"/>
  <c r="B740" i="1"/>
  <c r="B99" i="1"/>
  <c r="B14" i="1"/>
  <c r="B246" i="1"/>
  <c r="B423" i="1"/>
  <c r="B706" i="1"/>
  <c r="B376" i="1"/>
  <c r="B180" i="1"/>
  <c r="B597" i="1"/>
  <c r="B992" i="1"/>
  <c r="B783" i="1"/>
  <c r="B21" i="1"/>
  <c r="B411" i="1"/>
  <c r="B512" i="1"/>
  <c r="B602" i="1"/>
  <c r="B794" i="1"/>
  <c r="B713" i="1"/>
  <c r="B520" i="1"/>
  <c r="B861" i="1"/>
  <c r="B876" i="1"/>
  <c r="B471" i="1"/>
  <c r="B870" i="1"/>
  <c r="B494" i="1"/>
  <c r="B509" i="1"/>
  <c r="B157" i="1"/>
  <c r="B626" i="1"/>
  <c r="B948" i="1"/>
  <c r="B358" i="1"/>
  <c r="B264" i="1"/>
  <c r="B830" i="1"/>
  <c r="B476" i="1"/>
  <c r="B893" i="1"/>
  <c r="B237" i="1"/>
  <c r="B578" i="1"/>
  <c r="B125" i="1"/>
  <c r="B141" i="1"/>
  <c r="B489" i="1"/>
  <c r="B197" i="1"/>
  <c r="B748" i="1"/>
  <c r="B13" i="1"/>
  <c r="B908" i="1"/>
  <c r="B946" i="1"/>
  <c r="B80" i="1"/>
  <c r="B692" i="1"/>
  <c r="B582" i="1"/>
  <c r="B894" i="1"/>
  <c r="B682" i="1"/>
  <c r="B864" i="1"/>
  <c r="B469" i="1"/>
  <c r="B601" i="1"/>
  <c r="B368" i="1"/>
  <c r="B118" i="1"/>
  <c r="B486" i="1"/>
  <c r="B779" i="1"/>
  <c r="B481" i="1"/>
  <c r="B496" i="1"/>
  <c r="B727" i="1"/>
  <c r="B59" i="1"/>
  <c r="B619" i="1"/>
  <c r="B18" i="1"/>
  <c r="B46" i="1"/>
  <c r="B102" i="1"/>
  <c r="B906" i="1"/>
  <c r="B150" i="1"/>
  <c r="B117" i="1"/>
  <c r="B770" i="1"/>
  <c r="B266" i="1"/>
  <c r="B659" i="1"/>
  <c r="B777" i="1"/>
  <c r="B355" i="1"/>
  <c r="B474" i="1"/>
  <c r="B614" i="1"/>
  <c r="B112" i="1"/>
  <c r="B38" i="1"/>
  <c r="B221" i="1"/>
  <c r="B702" i="1"/>
  <c r="B44" i="1"/>
  <c r="B536" i="1"/>
  <c r="B933" i="1"/>
  <c r="B690" i="1"/>
  <c r="B960" i="1"/>
  <c r="B544" i="1"/>
  <c r="B446" i="1"/>
  <c r="B616" i="1"/>
  <c r="B919" i="1"/>
  <c r="B723" i="1"/>
  <c r="B209" i="1"/>
  <c r="B546" i="1"/>
  <c r="B722" i="1"/>
  <c r="B92" i="1"/>
  <c r="B304" i="1"/>
  <c r="B454" i="1"/>
  <c r="B106" i="1"/>
  <c r="B360" i="1"/>
  <c r="B808" i="1"/>
  <c r="B630" i="1"/>
  <c r="B809" i="1"/>
  <c r="B653" i="1"/>
  <c r="B217" i="1"/>
  <c r="B256" i="1"/>
  <c r="B634" i="1"/>
  <c r="B184" i="1"/>
  <c r="B404" i="1"/>
  <c r="B188" i="1"/>
  <c r="B449" i="1"/>
  <c r="B491" i="1"/>
  <c r="B708" i="1"/>
  <c r="B813" i="1"/>
  <c r="B293" i="1"/>
  <c r="B307" i="1"/>
  <c r="B879" i="1"/>
  <c r="B944" i="1"/>
  <c r="B849" i="1"/>
  <c r="B796" i="1"/>
  <c r="B127" i="1"/>
  <c r="B784" i="1"/>
  <c r="B48" i="1"/>
  <c r="B413" i="1"/>
  <c r="B168" i="1"/>
  <c r="B922" i="1"/>
  <c r="B461" i="1"/>
  <c r="B464" i="1"/>
  <c r="B164" i="1"/>
  <c r="B344" i="1"/>
  <c r="B277" i="1"/>
  <c r="B646" i="1"/>
  <c r="B232" i="1"/>
  <c r="B986" i="1"/>
  <c r="B49" i="1"/>
  <c r="B842" i="1"/>
  <c r="B45" i="1"/>
  <c r="B261" i="1"/>
  <c r="B620" i="1"/>
  <c r="B108" i="1"/>
  <c r="B511" i="1"/>
  <c r="B845" i="1"/>
  <c r="B579" i="1"/>
  <c r="B395" i="1"/>
  <c r="B787" i="1"/>
  <c r="B367" i="1"/>
  <c r="B995" i="1"/>
  <c r="B633" i="1"/>
  <c r="B303" i="1"/>
  <c r="B764" i="1"/>
  <c r="B295" i="1"/>
  <c r="B854" i="1"/>
  <c r="B131" i="1"/>
  <c r="B573" i="1"/>
  <c r="B110" i="1"/>
  <c r="B296" i="1"/>
  <c r="B149" i="1"/>
  <c r="B738" i="1"/>
  <c r="B798" i="1"/>
  <c r="B479" i="1"/>
  <c r="B781" i="1"/>
  <c r="B252" i="1"/>
  <c r="B272" i="1"/>
  <c r="B1000" i="1"/>
  <c r="B162" i="1"/>
  <c r="B537" i="1"/>
  <c r="B313" i="1"/>
  <c r="B979" i="1"/>
  <c r="B848" i="1"/>
  <c r="B492" i="1"/>
  <c r="B556" i="1"/>
  <c r="B673" i="1"/>
  <c r="B929" i="1"/>
  <c r="B668" i="1"/>
  <c r="B208" i="1"/>
  <c r="B892" i="1"/>
  <c r="B883" i="1"/>
  <c r="B318" i="1"/>
  <c r="B911" i="1"/>
  <c r="B270" i="1"/>
  <c r="B826" i="1"/>
  <c r="B824" i="1"/>
  <c r="B85" i="1"/>
  <c r="B332" i="1"/>
  <c r="B238" i="1"/>
  <c r="B774" i="1"/>
  <c r="B625" i="1"/>
  <c r="B275" i="1"/>
  <c r="B153" i="1"/>
  <c r="B409" i="1"/>
  <c r="B720" i="1"/>
  <c r="B253" i="1"/>
  <c r="B33" i="1"/>
  <c r="B735" i="1"/>
  <c r="B3" i="1"/>
  <c r="B553" i="1"/>
  <c r="B450" i="1"/>
  <c r="B62" i="1"/>
  <c r="B98" i="1"/>
  <c r="B478" i="1"/>
  <c r="B388" i="1"/>
  <c r="B285" i="1"/>
  <c r="B370" i="1"/>
  <c r="B832" i="1"/>
  <c r="B656" i="1"/>
  <c r="B694" i="1"/>
  <c r="B920" i="1"/>
  <c r="B517" i="1"/>
  <c r="B976" i="1"/>
  <c r="B177" i="1"/>
  <c r="B230" i="1"/>
  <c r="B688" i="1"/>
  <c r="B178" i="1"/>
  <c r="B703" i="1"/>
  <c r="B993" i="1"/>
  <c r="B905" i="1"/>
  <c r="B5" i="1"/>
  <c r="B122" i="1"/>
  <c r="B927" i="1"/>
  <c r="B689" i="1"/>
  <c r="B916" i="1"/>
  <c r="B962" i="1"/>
  <c r="B529" i="1"/>
  <c r="B907" i="1"/>
  <c r="B288" i="1"/>
  <c r="B678" i="1"/>
  <c r="B596" i="1"/>
  <c r="B68" i="1"/>
  <c r="B320" i="1"/>
  <c r="B716" i="1"/>
  <c r="B251" i="1"/>
  <c r="B819" i="1"/>
  <c r="B203" i="1"/>
  <c r="B196" i="1"/>
  <c r="B336" i="1"/>
  <c r="B665" i="1"/>
  <c r="B337" i="1"/>
  <c r="B435" i="1"/>
  <c r="B751" i="1"/>
  <c r="B872" i="1"/>
  <c r="B871" i="1"/>
  <c r="B86" i="1"/>
  <c r="B397" i="1"/>
  <c r="B498" i="1"/>
  <c r="B416" i="1"/>
  <c r="B430" i="1"/>
  <c r="B345" i="1"/>
  <c r="B934" i="1"/>
  <c r="B57" i="1"/>
  <c r="B94" i="1"/>
  <c r="B105" i="1"/>
  <c r="B869" i="1"/>
  <c r="B925" i="1"/>
  <c r="B443" i="1"/>
  <c r="B516" i="1"/>
  <c r="B851" i="1"/>
  <c r="B650" i="1"/>
  <c r="B747" i="1"/>
  <c r="B753" i="1"/>
  <c r="B265" i="1"/>
  <c r="B377" i="1"/>
  <c r="B811" i="1"/>
  <c r="B412" i="1"/>
  <c r="B760" i="1"/>
  <c r="B599" i="1"/>
  <c r="B353" i="1"/>
  <c r="B651" i="1"/>
  <c r="B897" i="1"/>
  <c r="B383" i="1"/>
  <c r="B239" i="1"/>
  <c r="B868" i="1"/>
  <c r="B942" i="1"/>
  <c r="B96" i="1"/>
  <c r="B254" i="1"/>
  <c r="B982" i="1"/>
  <c r="B877" i="1"/>
  <c r="B676" i="1"/>
  <c r="B773" i="1"/>
  <c r="B436" i="1"/>
  <c r="B322" i="1"/>
  <c r="B325" i="1"/>
  <c r="B718" i="1"/>
  <c r="B444" i="1"/>
  <c r="B928" i="1"/>
  <c r="B776" i="1"/>
  <c r="B468" i="1"/>
  <c r="B997" i="1"/>
  <c r="B458" i="1"/>
  <c r="B631" i="1"/>
  <c r="B366" i="1"/>
  <c r="B586" i="1"/>
  <c r="B414" i="1"/>
  <c r="B27" i="1"/>
  <c r="B226" i="1"/>
  <c r="B83" i="1"/>
  <c r="B316" i="1"/>
  <c r="B792" i="1"/>
  <c r="B750" i="1"/>
  <c r="B575" i="1"/>
  <c r="B710" i="1"/>
  <c r="B932" i="1"/>
  <c r="B191" i="1"/>
  <c r="B248" i="1"/>
  <c r="B924" i="1"/>
  <c r="B550" i="1"/>
  <c r="B930" i="1"/>
  <c r="B941" i="1"/>
  <c r="B183" i="1"/>
  <c r="B327" i="1"/>
  <c r="B302" i="1"/>
  <c r="B271" i="1"/>
  <c r="B791" i="1"/>
  <c r="B931" i="1"/>
  <c r="B292" i="1"/>
  <c r="B891" i="1"/>
  <c r="B755" i="1"/>
  <c r="B909" i="1"/>
  <c r="B169" i="1"/>
  <c r="B917" i="1"/>
  <c r="B55" i="1"/>
  <c r="B679" i="1"/>
  <c r="B441" i="1"/>
  <c r="B836" i="1"/>
  <c r="B206" i="1"/>
  <c r="B657" i="1"/>
  <c r="B193" i="1"/>
  <c r="B171" i="1"/>
  <c r="B954" i="1"/>
  <c r="B136" i="1"/>
  <c r="B888" i="1"/>
  <c r="B422" i="1"/>
  <c r="B89" i="1"/>
  <c r="B187" i="1"/>
  <c r="B211" i="1"/>
  <c r="B280" i="1"/>
  <c r="B543" i="1"/>
  <c r="B637" i="1"/>
  <c r="B732" i="1"/>
  <c r="B63" i="1"/>
  <c r="B547" i="1"/>
  <c r="B674" i="1"/>
  <c r="B629" i="1"/>
  <c r="B453" i="1"/>
  <c r="B818" i="1"/>
  <c r="B60" i="1"/>
  <c r="B104" i="1"/>
  <c r="B568" i="1"/>
  <c r="B361" i="1"/>
  <c r="B545" i="1"/>
  <c r="B901" i="1"/>
  <c r="B989" i="1"/>
  <c r="B359" i="1"/>
  <c r="B134" i="1"/>
  <c r="B215" i="1"/>
  <c r="B866" i="1"/>
  <c r="B903" i="1"/>
  <c r="B260" i="1"/>
  <c r="B714" i="1"/>
  <c r="B297" i="1"/>
  <c r="B621" i="1"/>
  <c r="B817" i="1"/>
  <c r="B505" i="1"/>
  <c r="B912" i="1"/>
  <c r="B658" i="1"/>
  <c r="B482" i="1"/>
  <c r="B588" i="1"/>
  <c r="B790" i="1"/>
  <c r="B387" i="1"/>
  <c r="B247" i="1"/>
  <c r="B12" i="1"/>
  <c r="B565" i="1"/>
  <c r="B145" i="1"/>
  <c r="B93" i="1"/>
  <c r="B276" i="1"/>
  <c r="B990" i="1"/>
  <c r="B71" i="1"/>
  <c r="B233" i="1"/>
  <c r="B569" i="1"/>
  <c r="B76" i="1"/>
  <c r="B858" i="1"/>
  <c r="B816" i="1"/>
  <c r="B627" i="1"/>
  <c r="B838" i="1"/>
  <c r="B855" i="1"/>
  <c r="B228" i="1"/>
  <c r="B793" i="1"/>
  <c r="B612" i="1"/>
  <c r="B591" i="1"/>
  <c r="B158" i="1"/>
  <c r="B728" i="1"/>
  <c r="B510" i="1"/>
  <c r="B731" i="1"/>
  <c r="B42" i="1"/>
  <c r="B121" i="1"/>
  <c r="B622" i="1"/>
  <c r="B301" i="1"/>
  <c r="B312" i="1"/>
  <c r="B644" i="1"/>
  <c r="B937" i="1"/>
  <c r="B873" i="1"/>
  <c r="B120" i="1"/>
  <c r="B410" i="1"/>
  <c r="B605" i="1"/>
  <c r="B950" i="1"/>
  <c r="B996" i="1"/>
  <c r="B525" i="1"/>
  <c r="B820" i="1"/>
  <c r="B113" i="1"/>
  <c r="B632" i="1"/>
  <c r="B782" i="1"/>
  <c r="B384" i="1"/>
  <c r="B236" i="1"/>
  <c r="B9" i="1"/>
  <c r="B405" i="1"/>
  <c r="B216" i="1"/>
  <c r="B988" i="1"/>
  <c r="B846" i="1"/>
  <c r="B898" i="1"/>
  <c r="B34" i="1"/>
  <c r="B803" i="1"/>
  <c r="B245" i="1"/>
  <c r="B958" i="1"/>
  <c r="B480" i="1"/>
  <c r="B186" i="1"/>
  <c r="B234" i="1"/>
  <c r="B805" i="1"/>
  <c r="B399" i="1"/>
  <c r="B822" i="1"/>
  <c r="B951" i="1"/>
  <c r="B557" i="1"/>
  <c r="B488" i="1"/>
  <c r="B953" i="1"/>
  <c r="B495" i="1"/>
  <c r="B725" i="1"/>
  <c r="B47" i="1"/>
  <c r="B649" i="1"/>
  <c r="B72" i="1"/>
  <c r="B860" i="1"/>
  <c r="B497" i="1"/>
  <c r="B219" i="1"/>
  <c r="B434" i="1"/>
  <c r="B138" i="1"/>
  <c r="B795" i="1"/>
  <c r="B677" i="1"/>
  <c r="B780" i="1"/>
  <c r="B765" i="1"/>
  <c r="B428" i="1"/>
  <c r="B974" i="1"/>
  <c r="B762" i="1"/>
  <c r="B524" i="1"/>
  <c r="B429" i="1"/>
  <c r="B64" i="1"/>
  <c r="B652" i="1"/>
  <c r="B618" i="1"/>
  <c r="B785" i="1"/>
  <c r="B16" i="1"/>
  <c r="B850" i="1"/>
  <c r="B465" i="1"/>
  <c r="B956" i="1"/>
  <c r="B342" i="1"/>
  <c r="B700" i="1"/>
  <c r="B733" i="1"/>
  <c r="B356" i="1"/>
  <c r="B503" i="1"/>
  <c r="B560" i="1"/>
  <c r="B693" i="1"/>
  <c r="B697" i="1"/>
  <c r="B975" i="1"/>
  <c r="B88" i="1"/>
  <c r="B746" i="1"/>
  <c r="B447" i="1"/>
  <c r="B531" i="1"/>
  <c r="B598" i="1"/>
  <c r="B913" i="1"/>
  <c r="B594" i="1"/>
  <c r="B502" i="1"/>
  <c r="B109" i="1"/>
  <c r="B291" i="1"/>
  <c r="B451" i="1"/>
  <c r="B51" i="1"/>
  <c r="B262" i="1"/>
  <c r="B528" i="1"/>
  <c r="B966" i="1"/>
  <c r="B839" i="1"/>
  <c r="B636" i="1"/>
  <c r="B763" i="1"/>
  <c r="B189" i="1"/>
  <c r="B628" i="1"/>
  <c r="B957" i="1"/>
  <c r="B853" i="1"/>
  <c r="B165" i="1"/>
  <c r="B393" i="1"/>
  <c r="B508" i="1"/>
  <c r="B549" i="1"/>
  <c r="B391" i="1"/>
  <c r="B151" i="1"/>
  <c r="B290" i="1"/>
  <c r="B840" i="1"/>
  <c r="B460" i="1"/>
  <c r="B198" i="1"/>
  <c r="B752" i="1"/>
  <c r="B641" i="1"/>
  <c r="B949" i="1"/>
  <c r="B6" i="1"/>
  <c r="B389" i="1"/>
  <c r="B999" i="1"/>
  <c r="B282" i="1"/>
  <c r="B259" i="1"/>
  <c r="B40" i="1"/>
  <c r="B61" i="1"/>
  <c r="B741" i="1"/>
  <c r="B487" i="1"/>
  <c r="B398" i="1"/>
  <c r="B915" i="1"/>
  <c r="B74" i="1"/>
  <c r="B526" i="1"/>
  <c r="B132" i="1"/>
  <c r="B548" i="1"/>
  <c r="B77" i="1"/>
  <c r="B829" i="1"/>
  <c r="B570" i="1"/>
  <c r="B298" i="1"/>
  <c r="B555" i="1"/>
  <c r="B69" i="1"/>
  <c r="B431" i="1"/>
  <c r="B534" i="1"/>
  <c r="B442" i="1"/>
  <c r="B26" i="1"/>
  <c r="B576" i="1"/>
  <c r="B231" i="1"/>
  <c r="B821" i="1"/>
  <c r="B744" i="1"/>
  <c r="B418" i="1"/>
  <c r="B73" i="1"/>
  <c r="B472" i="1"/>
  <c r="B53" i="1"/>
  <c r="B768" i="1"/>
  <c r="B142" i="1"/>
  <c r="B207" i="1"/>
  <c r="B567" i="1"/>
  <c r="B440" i="1"/>
  <c r="B242" i="1"/>
  <c r="B1001" i="1"/>
  <c r="B563" i="1"/>
  <c r="B584" i="1"/>
  <c r="B726" i="1"/>
  <c r="B400" i="1"/>
  <c r="B192" i="1"/>
  <c r="B152" i="1"/>
  <c r="B90" i="1"/>
  <c r="B539" i="1"/>
  <c r="B348" i="1"/>
  <c r="B380" i="1"/>
  <c r="B381" i="1"/>
  <c r="B56" i="1"/>
  <c r="B717" i="1"/>
  <c r="B289" i="1"/>
  <c r="B334" i="1"/>
  <c r="B771" i="1"/>
  <c r="B87" i="1"/>
  <c r="B885" i="1"/>
  <c r="B587" i="1"/>
  <c r="B287" i="1"/>
  <c r="B78" i="1"/>
  <c r="B119" i="1"/>
  <c r="B139" i="1"/>
  <c r="B523" i="1"/>
  <c r="B875" i="1"/>
  <c r="B681" i="1"/>
  <c r="B58" i="1"/>
  <c r="B554" i="1"/>
  <c r="B696" i="1"/>
  <c r="B739" i="1"/>
  <c r="B807" i="1"/>
  <c r="B972" i="1"/>
  <c r="B947" i="1"/>
  <c r="B661" i="1"/>
  <c r="B333" i="1"/>
  <c r="B148" i="1"/>
  <c r="B900" i="1"/>
  <c r="B363" i="1"/>
  <c r="B425" i="1"/>
  <c r="B124" i="1"/>
  <c r="B199" i="1"/>
  <c r="B743" i="1"/>
  <c r="B28" i="1"/>
  <c r="B463" i="1"/>
  <c r="B306" i="1"/>
  <c r="B448" i="1"/>
  <c r="B667" i="1"/>
  <c r="B806" i="1"/>
  <c r="B91" i="1"/>
  <c r="B36" i="1"/>
  <c r="B994" i="1"/>
  <c r="B856" i="1"/>
  <c r="B407" i="1"/>
  <c r="B704" i="1"/>
  <c r="B766" i="1"/>
  <c r="B23" i="1"/>
  <c r="B284" i="1"/>
  <c r="B351" i="1"/>
  <c r="B943" i="1"/>
  <c r="B222" i="1"/>
  <c r="B647" i="1"/>
  <c r="B831" i="1"/>
  <c r="B362" i="1"/>
  <c r="B815" i="1"/>
  <c r="B352" i="1"/>
  <c r="B70" i="1"/>
  <c r="B274" i="1"/>
  <c r="B220" i="1"/>
  <c r="B172" i="1"/>
  <c r="B541" i="1"/>
  <c r="B382" i="1"/>
  <c r="B144" i="1"/>
  <c r="B300" i="1"/>
  <c r="B406" i="1"/>
  <c r="B241" i="1"/>
  <c r="B378" i="1"/>
  <c r="B786" i="1"/>
  <c r="B331" i="1"/>
  <c r="B372" i="1"/>
  <c r="B638" i="1"/>
  <c r="B654" i="1"/>
  <c r="B115" i="1"/>
  <c r="B604" i="1"/>
  <c r="B283" i="1"/>
  <c r="B321" i="1"/>
  <c r="B130" i="1"/>
  <c r="B675" i="1"/>
  <c r="B607" i="1"/>
  <c r="B385" i="1"/>
  <c r="B895" i="1"/>
  <c r="B2" i="1"/>
  <c r="B585" i="1"/>
  <c r="B680" i="1"/>
  <c r="B610" i="1"/>
  <c r="B522" i="1"/>
  <c r="B540" i="1"/>
  <c r="B255" i="1"/>
  <c r="B890" i="1"/>
  <c r="B812" i="1"/>
  <c r="B802" i="1"/>
  <c r="B685" i="1"/>
  <c r="B462" i="1"/>
  <c r="B29" i="1"/>
  <c r="B800" i="1"/>
  <c r="B10" i="1"/>
  <c r="B715" i="1"/>
  <c r="B921" i="1"/>
  <c r="B427" i="1"/>
  <c r="B433" i="1"/>
  <c r="B530" i="1"/>
  <c r="B249" i="1"/>
  <c r="B346" i="1"/>
  <c r="B426" i="1"/>
  <c r="B923" i="1"/>
  <c r="B730" i="1"/>
  <c r="B419" i="1"/>
  <c r="B457" i="1"/>
  <c r="B185" i="1"/>
  <c r="B24" i="1"/>
  <c r="B978" i="1"/>
  <c r="B200" i="1"/>
  <c r="B473" i="1"/>
  <c r="B328" i="1"/>
  <c r="B991" i="1"/>
  <c r="B500" i="1"/>
  <c r="B572" i="1"/>
  <c r="B459" i="1"/>
  <c r="B421" i="1"/>
  <c r="B257" i="1"/>
  <c r="B243" i="1"/>
  <c r="B159" i="1"/>
  <c r="B705" i="1"/>
  <c r="B315" i="1"/>
  <c r="B707" i="1"/>
  <c r="B611" i="1"/>
  <c r="B392" i="1"/>
  <c r="B319" i="1"/>
  <c r="B965" i="1"/>
  <c r="B456" i="1"/>
  <c r="B521" i="1"/>
  <c r="B65" i="1"/>
  <c r="B50" i="1"/>
  <c r="B438" i="1"/>
  <c r="B775" i="1"/>
  <c r="B343" i="1"/>
  <c r="B823" i="1"/>
  <c r="B133" i="1"/>
  <c r="B267" i="1"/>
  <c r="B969" i="1"/>
  <c r="B455" i="1"/>
  <c r="B175" i="1"/>
  <c r="B214" i="1"/>
  <c r="B75" i="1"/>
  <c r="B970" i="1"/>
  <c r="B886" i="1"/>
  <c r="B107" i="1"/>
  <c r="B402" i="1"/>
  <c r="B814" i="1"/>
  <c r="B354" i="1"/>
  <c r="B759" i="1"/>
  <c r="B940" i="1"/>
  <c r="B635" i="1"/>
  <c r="B475" i="1"/>
  <c r="B532" i="1"/>
  <c r="B719" i="1"/>
  <c r="B364" i="1"/>
  <c r="B533" i="1"/>
  <c r="B519" i="1"/>
  <c r="B470" i="1"/>
  <c r="B600" i="1"/>
  <c r="B420" i="1"/>
  <c r="B642" i="1"/>
  <c r="B887" i="1"/>
  <c r="B341" i="1"/>
  <c r="B980" i="1"/>
  <c r="B250" i="1"/>
  <c r="B938" i="1"/>
  <c r="B504" i="1"/>
  <c r="B699" i="1"/>
  <c r="B100" i="1"/>
  <c r="B914" i="1"/>
  <c r="B97" i="1"/>
  <c r="B955" i="1"/>
  <c r="B964" i="1"/>
  <c r="B655" i="1"/>
  <c r="B734" i="1"/>
  <c r="B977" i="1"/>
  <c r="B135" i="1"/>
  <c r="B799" i="1"/>
  <c r="B672" i="1"/>
  <c r="B827" i="1"/>
  <c r="B338" i="1"/>
  <c r="B67" i="1"/>
  <c r="B844" i="1"/>
  <c r="B213" i="1"/>
  <c r="B709" i="1"/>
  <c r="B347" i="1"/>
  <c r="B20" i="1"/>
  <c r="B640" i="1"/>
  <c r="B484" i="1"/>
  <c r="B772" i="1"/>
  <c r="B155" i="1"/>
  <c r="B156" i="1"/>
  <c r="B843" i="1"/>
  <c r="B778" i="1"/>
  <c r="B551" i="1"/>
  <c r="B852" i="1"/>
  <c r="B194" i="1"/>
  <c r="B971" i="1"/>
  <c r="B552" i="1"/>
  <c r="B201" i="1"/>
  <c r="B54" i="1"/>
  <c r="B477" i="1"/>
  <c r="B452" i="1"/>
  <c r="B737" i="1"/>
  <c r="B896" i="1"/>
  <c r="B173" i="1"/>
  <c r="B31" i="1"/>
  <c r="B126" i="1"/>
  <c r="B664" i="1"/>
  <c r="B859" i="1"/>
  <c r="B25" i="1"/>
  <c r="B564" i="1"/>
  <c r="B43" i="1"/>
  <c r="B161" i="1"/>
  <c r="B835" i="1"/>
  <c r="B210" i="1"/>
  <c r="B952" i="1"/>
  <c r="B506" i="1"/>
  <c r="B269" i="1"/>
  <c r="B401" i="1"/>
  <c r="B81" i="1"/>
  <c r="B483" i="1"/>
  <c r="B910" i="1"/>
  <c r="B294" i="1"/>
  <c r="B101" i="1"/>
  <c r="B513" i="1"/>
  <c r="B985" i="1"/>
  <c r="B417" i="1"/>
  <c r="B311" i="1"/>
  <c r="B857" i="1"/>
  <c r="B396" i="1"/>
  <c r="B490" i="1"/>
  <c r="B116" i="1"/>
  <c r="B357" i="1"/>
  <c r="B8" i="1"/>
  <c r="B797" i="1"/>
  <c r="B394" i="1"/>
  <c r="B767" i="1"/>
  <c r="B279" i="1"/>
  <c r="B95" i="1"/>
  <c r="B613" i="1"/>
  <c r="B143" i="1"/>
  <c r="B258" i="1"/>
  <c r="B323" i="1"/>
  <c r="B349" i="1"/>
  <c r="B390" i="1"/>
  <c r="B174" i="1"/>
  <c r="B617" i="1"/>
  <c r="B538" i="1"/>
  <c r="B660" i="1"/>
  <c r="B880" i="1"/>
  <c r="B595" i="1"/>
  <c r="B371" i="1"/>
  <c r="B663" i="1"/>
  <c r="B350" i="1"/>
  <c r="B204" i="1"/>
  <c r="B146" i="1"/>
  <c r="B66" i="1"/>
  <c r="B466" i="1"/>
  <c r="B518" i="1"/>
  <c r="B967" i="1"/>
  <c r="B305" i="1"/>
  <c r="B535" i="1"/>
  <c r="B758" i="1"/>
  <c r="B317" i="1"/>
  <c r="B724" i="1"/>
  <c r="B499" i="1"/>
  <c r="B639" i="1"/>
  <c r="B515" i="1"/>
  <c r="B593" i="1"/>
  <c r="B167" i="1"/>
  <c r="B15" i="1"/>
  <c r="B606" i="1"/>
  <c r="B225" i="1"/>
  <c r="B987" i="1"/>
  <c r="B286" i="1"/>
  <c r="B754" i="1"/>
  <c r="B882" i="1"/>
  <c r="B669" i="1"/>
  <c r="B437" i="1"/>
  <c r="B314" i="1"/>
  <c r="B224" i="1"/>
  <c r="B670" i="1"/>
  <c r="B35" i="1"/>
  <c r="B330" i="1"/>
  <c r="B103" i="1"/>
  <c r="B4" i="1"/>
  <c r="B309" i="1"/>
  <c r="B375" i="1"/>
  <c r="B981" i="1"/>
  <c r="B874" i="1"/>
  <c r="B577" i="1"/>
  <c r="B701" i="1"/>
  <c r="B439" i="1"/>
  <c r="B30" i="1"/>
  <c r="B666" i="1"/>
  <c r="B561" i="1"/>
  <c r="B79" i="1"/>
  <c r="B190" i="1"/>
  <c r="B485" i="1"/>
  <c r="B335" i="1"/>
  <c r="B227" i="1"/>
  <c r="B273" i="1"/>
  <c r="B507" i="1"/>
  <c r="B408" i="1"/>
  <c r="B240" i="1"/>
  <c r="B527" i="1"/>
  <c r="B501" i="1"/>
  <c r="B19" i="1"/>
  <c r="B369" i="1"/>
  <c r="B615" i="1"/>
  <c r="B558" i="1"/>
  <c r="B645" i="1"/>
  <c r="B687" i="1"/>
  <c r="B833" i="1"/>
  <c r="B745" i="1"/>
  <c r="B542" i="1"/>
  <c r="B834" i="1"/>
  <c r="B263" i="1"/>
  <c r="B32" i="1"/>
  <c r="B756" i="1"/>
  <c r="B749" i="1"/>
  <c r="B712" i="1"/>
  <c r="B324" i="1"/>
  <c r="B603" i="1"/>
  <c r="B181" i="1"/>
  <c r="B278" i="1"/>
  <c r="B163" i="1"/>
  <c r="B592" i="1"/>
  <c r="B865" i="1"/>
  <c r="B742" i="1"/>
  <c r="B574" i="1"/>
  <c r="B691" i="1"/>
  <c r="B493" i="1"/>
  <c r="B761" i="1"/>
  <c r="B566" i="1"/>
  <c r="B983" i="1"/>
  <c r="B7" i="1"/>
  <c r="B268" i="1"/>
  <c r="B828" i="1"/>
  <c r="B608" i="1"/>
  <c r="B945" i="1"/>
  <c r="B935" i="1"/>
  <c r="B229" i="1"/>
  <c r="B580" i="1"/>
  <c r="B22" i="1"/>
  <c r="B825" i="1"/>
  <c r="B114" i="1"/>
  <c r="B310" i="1"/>
  <c r="B863" i="1"/>
  <c r="B984" i="1"/>
  <c r="B202" i="1"/>
  <c r="B589" i="1"/>
  <c r="B340" i="1"/>
  <c r="B326" i="1"/>
  <c r="B386" i="1"/>
  <c r="B514" i="1"/>
  <c r="B757" i="1"/>
  <c r="B939" i="1"/>
  <c r="B643" i="1"/>
  <c r="B329" i="1"/>
  <c r="B841" i="1"/>
  <c r="B918" i="1"/>
  <c r="B445" i="1"/>
  <c r="B308" i="1"/>
  <c r="B902" i="1"/>
  <c r="B195" i="1"/>
  <c r="B123" i="1"/>
  <c r="B41" i="1"/>
  <c r="B936" i="1"/>
  <c r="B801" i="1"/>
  <c r="B804" i="1"/>
  <c r="B212" i="1"/>
  <c r="B562" i="1"/>
  <c r="B884" i="1"/>
  <c r="B648" i="1"/>
  <c r="B837" i="1"/>
  <c r="B223" i="1"/>
  <c r="B424" i="1"/>
  <c r="B154" i="1"/>
  <c r="B166" i="1"/>
  <c r="B140" i="1"/>
  <c r="B695" i="1"/>
  <c r="B281" i="1"/>
  <c r="B467" i="1"/>
  <c r="B373" i="1"/>
  <c r="B379" i="1"/>
  <c r="B571" i="1"/>
  <c r="B179" i="1"/>
  <c r="B403" i="1"/>
  <c r="B559" i="1"/>
  <c r="B205" i="1"/>
  <c r="B137" i="1"/>
  <c r="B926" i="1"/>
  <c r="B147" i="1"/>
  <c r="B867" i="1"/>
  <c r="B729" i="1"/>
  <c r="B129" i="1"/>
  <c r="B721" i="1"/>
  <c r="B624" i="1"/>
  <c r="B84" i="1"/>
  <c r="B889" i="1"/>
  <c r="B788" i="1"/>
  <c r="B671" i="1"/>
  <c r="B769" i="1"/>
  <c r="B235" i="1"/>
  <c r="B899" i="1"/>
  <c r="B789" i="1"/>
  <c r="B998" i="1"/>
  <c r="B432" i="1"/>
  <c r="B374" i="1"/>
  <c r="B37" i="1"/>
  <c r="B170" i="1"/>
  <c r="B339" i="1"/>
  <c r="B581" i="1"/>
  <c r="B961" i="1"/>
  <c r="B686" i="1"/>
  <c r="B583" i="1"/>
  <c r="B11" i="1"/>
  <c r="B590" i="1"/>
  <c r="B17" i="1"/>
  <c r="B365" i="1"/>
  <c r="B904" i="1"/>
  <c r="B39" i="1"/>
  <c r="B684" i="1"/>
  <c r="B623" i="1"/>
  <c r="B128" i="1"/>
  <c r="B182" i="1"/>
  <c r="B82" i="1"/>
  <c r="B736" i="1"/>
  <c r="B111" i="1"/>
  <c r="U10" i="1"/>
  <c r="T10" i="1"/>
  <c r="U13" i="1"/>
  <c r="U12" i="1"/>
  <c r="U11" i="1"/>
  <c r="T13" i="1"/>
  <c r="T12" i="1"/>
  <c r="T11" i="1"/>
  <c r="W3" i="1" a="1"/>
  <c r="W3" i="1"/>
  <c r="O847" i="1"/>
  <c r="P847" i="1"/>
  <c r="Q847" i="1"/>
  <c r="O973" i="1"/>
  <c r="P973" i="1"/>
  <c r="Q973" i="1"/>
  <c r="O609" i="1"/>
  <c r="P609" i="1"/>
  <c r="Q609" i="1"/>
  <c r="O662" i="1"/>
  <c r="P662" i="1"/>
  <c r="Q662" i="1"/>
  <c r="O698" i="1"/>
  <c r="P698" i="1"/>
  <c r="Q698" i="1"/>
  <c r="O810" i="1"/>
  <c r="P810" i="1"/>
  <c r="Q810" i="1"/>
  <c r="O862" i="1"/>
  <c r="P862" i="1"/>
  <c r="Q862" i="1"/>
  <c r="O52" i="1"/>
  <c r="P52" i="1"/>
  <c r="Q52" i="1"/>
  <c r="O244" i="1"/>
  <c r="B2" i="2" s="1"/>
  <c r="D2" i="2" s="1"/>
  <c r="P244" i="1"/>
  <c r="Q244" i="1"/>
  <c r="O881" i="1"/>
  <c r="P881" i="1"/>
  <c r="Q881" i="1"/>
  <c r="O176" i="1"/>
  <c r="P176" i="1"/>
  <c r="Q176" i="1"/>
  <c r="O415" i="1"/>
  <c r="P415" i="1"/>
  <c r="Q415" i="1"/>
  <c r="O959" i="1"/>
  <c r="P959" i="1"/>
  <c r="Q959" i="1"/>
  <c r="O963" i="1"/>
  <c r="B3" i="2" s="1" a="1"/>
  <c r="B3" i="2" s="1"/>
  <c r="P963" i="1"/>
  <c r="Q963" i="1"/>
  <c r="O878" i="1"/>
  <c r="P878" i="1"/>
  <c r="Q878" i="1"/>
  <c r="O711" i="1"/>
  <c r="P711" i="1"/>
  <c r="Q711" i="1"/>
  <c r="O683" i="1"/>
  <c r="P683" i="1"/>
  <c r="Q683" i="1"/>
  <c r="O299" i="1"/>
  <c r="P299" i="1"/>
  <c r="Q299" i="1"/>
  <c r="O160" i="1"/>
  <c r="P160" i="1"/>
  <c r="Q160" i="1"/>
  <c r="O968" i="1"/>
  <c r="P968" i="1"/>
  <c r="Q968" i="1"/>
  <c r="O218" i="1"/>
  <c r="P218" i="1"/>
  <c r="Q218" i="1"/>
  <c r="O740" i="1"/>
  <c r="P740" i="1"/>
  <c r="Q740" i="1"/>
  <c r="O99" i="1"/>
  <c r="P99" i="1"/>
  <c r="Q99" i="1"/>
  <c r="O14" i="1"/>
  <c r="B4" i="2" s="1" a="1"/>
  <c r="B4" i="2" s="1"/>
  <c r="P14" i="1"/>
  <c r="Q14" i="1"/>
  <c r="O246" i="1"/>
  <c r="P246" i="1"/>
  <c r="Q246" i="1"/>
  <c r="O423" i="1"/>
  <c r="P423" i="1"/>
  <c r="Q423" i="1"/>
  <c r="O706" i="1"/>
  <c r="P706" i="1"/>
  <c r="Q706" i="1"/>
  <c r="O376" i="1"/>
  <c r="P376" i="1"/>
  <c r="Q376" i="1"/>
  <c r="O180" i="1"/>
  <c r="B5" i="2" s="1" a="1"/>
  <c r="B5" i="2" s="1"/>
  <c r="P180" i="1"/>
  <c r="Q180" i="1"/>
  <c r="O597" i="1"/>
  <c r="P597" i="1"/>
  <c r="Q597" i="1"/>
  <c r="O992" i="1"/>
  <c r="P992" i="1"/>
  <c r="Q992" i="1"/>
  <c r="O783" i="1"/>
  <c r="P783" i="1"/>
  <c r="Q783" i="1"/>
  <c r="O21" i="1"/>
  <c r="P21" i="1"/>
  <c r="Q21" i="1"/>
  <c r="O411" i="1"/>
  <c r="P411" i="1"/>
  <c r="Q411" i="1"/>
  <c r="O512" i="1"/>
  <c r="P512" i="1"/>
  <c r="Q512" i="1"/>
  <c r="O602" i="1"/>
  <c r="P602" i="1"/>
  <c r="Q602" i="1"/>
  <c r="O794" i="1"/>
  <c r="P794" i="1"/>
  <c r="Q794" i="1"/>
  <c r="O713" i="1"/>
  <c r="P713" i="1"/>
  <c r="Q713" i="1"/>
  <c r="O520" i="1"/>
  <c r="P520" i="1"/>
  <c r="Q520" i="1"/>
  <c r="O861" i="1"/>
  <c r="P861" i="1"/>
  <c r="Q861" i="1"/>
  <c r="O876" i="1"/>
  <c r="P876" i="1"/>
  <c r="Q876" i="1"/>
  <c r="O471" i="1"/>
  <c r="P471" i="1"/>
  <c r="Q471" i="1"/>
  <c r="O870" i="1"/>
  <c r="P870" i="1"/>
  <c r="Q870" i="1"/>
  <c r="O494" i="1"/>
  <c r="P494" i="1"/>
  <c r="Q494" i="1"/>
  <c r="O509" i="1"/>
  <c r="P509" i="1"/>
  <c r="Q509" i="1"/>
  <c r="O157" i="1"/>
  <c r="P157" i="1"/>
  <c r="Q157" i="1"/>
  <c r="O626" i="1"/>
  <c r="P626" i="1"/>
  <c r="Q626" i="1"/>
  <c r="O948" i="1"/>
  <c r="P948" i="1"/>
  <c r="Q948" i="1"/>
  <c r="O358" i="1"/>
  <c r="P358" i="1"/>
  <c r="Q358" i="1"/>
  <c r="O264" i="1"/>
  <c r="P264" i="1"/>
  <c r="Q264" i="1"/>
  <c r="O830" i="1"/>
  <c r="P830" i="1"/>
  <c r="Q830" i="1"/>
  <c r="O476" i="1"/>
  <c r="P476" i="1"/>
  <c r="Q476" i="1"/>
  <c r="O893" i="1"/>
  <c r="B6" i="2" s="1" a="1"/>
  <c r="B6" i="2" s="1"/>
  <c r="P893" i="1"/>
  <c r="Q893" i="1"/>
  <c r="O237" i="1"/>
  <c r="B7" i="2" s="1" a="1"/>
  <c r="B7" i="2" s="1"/>
  <c r="P237" i="1"/>
  <c r="Q237" i="1"/>
  <c r="O578" i="1"/>
  <c r="P578" i="1"/>
  <c r="Q578" i="1"/>
  <c r="O125" i="1"/>
  <c r="P125" i="1"/>
  <c r="Q125" i="1"/>
  <c r="O141" i="1"/>
  <c r="P141" i="1"/>
  <c r="Q141" i="1"/>
  <c r="O489" i="1"/>
  <c r="P489" i="1"/>
  <c r="Q489" i="1"/>
  <c r="O197" i="1"/>
  <c r="P197" i="1"/>
  <c r="Q197" i="1"/>
  <c r="O748" i="1"/>
  <c r="P748" i="1"/>
  <c r="Q748" i="1"/>
  <c r="O13" i="1"/>
  <c r="P13" i="1"/>
  <c r="Q13" i="1"/>
  <c r="O908" i="1"/>
  <c r="P908" i="1"/>
  <c r="Q908" i="1"/>
  <c r="O946" i="1"/>
  <c r="P946" i="1"/>
  <c r="Q946" i="1"/>
  <c r="O80" i="1"/>
  <c r="P80" i="1"/>
  <c r="Q80" i="1"/>
  <c r="O692" i="1"/>
  <c r="P692" i="1"/>
  <c r="Q692" i="1"/>
  <c r="O582" i="1"/>
  <c r="B8" i="2" s="1" a="1"/>
  <c r="B8" i="2" s="1"/>
  <c r="P582" i="1"/>
  <c r="Q582" i="1"/>
  <c r="O894" i="1"/>
  <c r="P894" i="1"/>
  <c r="Q894" i="1"/>
  <c r="O682" i="1"/>
  <c r="P682" i="1"/>
  <c r="Q682" i="1"/>
  <c r="O864" i="1"/>
  <c r="P864" i="1"/>
  <c r="Q864" i="1"/>
  <c r="O469" i="1"/>
  <c r="P469" i="1"/>
  <c r="Q469" i="1"/>
  <c r="O601" i="1"/>
  <c r="P601" i="1"/>
  <c r="Q601" i="1"/>
  <c r="O368" i="1"/>
  <c r="P368" i="1"/>
  <c r="Q368" i="1"/>
  <c r="O118" i="1"/>
  <c r="P118" i="1"/>
  <c r="Q118" i="1"/>
  <c r="O486" i="1"/>
  <c r="P486" i="1"/>
  <c r="Q486" i="1"/>
  <c r="O779" i="1"/>
  <c r="P779" i="1"/>
  <c r="Q779" i="1"/>
  <c r="O481" i="1"/>
  <c r="P481" i="1"/>
  <c r="Q481" i="1"/>
  <c r="O496" i="1"/>
  <c r="P496" i="1"/>
  <c r="Q496" i="1"/>
  <c r="O727" i="1"/>
  <c r="P727" i="1"/>
  <c r="Q727" i="1"/>
  <c r="O59" i="1"/>
  <c r="P59" i="1"/>
  <c r="Q59" i="1"/>
  <c r="O619" i="1"/>
  <c r="P619" i="1"/>
  <c r="Q619" i="1"/>
  <c r="O18" i="1"/>
  <c r="P18" i="1"/>
  <c r="Q18" i="1"/>
  <c r="O46" i="1"/>
  <c r="P46" i="1"/>
  <c r="Q46" i="1"/>
  <c r="O102" i="1"/>
  <c r="P102" i="1"/>
  <c r="Q102" i="1"/>
  <c r="O906" i="1"/>
  <c r="P906" i="1"/>
  <c r="Q906" i="1"/>
  <c r="O150" i="1"/>
  <c r="P150" i="1"/>
  <c r="Q150" i="1"/>
  <c r="O117" i="1"/>
  <c r="P117" i="1"/>
  <c r="Q117" i="1"/>
  <c r="O770" i="1"/>
  <c r="P770" i="1"/>
  <c r="Q770" i="1"/>
  <c r="O266" i="1"/>
  <c r="B9" i="2" s="1" a="1"/>
  <c r="B9" i="2" s="1"/>
  <c r="P266" i="1"/>
  <c r="Q266" i="1"/>
  <c r="O659" i="1"/>
  <c r="P659" i="1"/>
  <c r="Q659" i="1"/>
  <c r="O777" i="1"/>
  <c r="P777" i="1"/>
  <c r="Q777" i="1"/>
  <c r="O355" i="1"/>
  <c r="P355" i="1"/>
  <c r="Q355" i="1"/>
  <c r="O474" i="1"/>
  <c r="P474" i="1"/>
  <c r="Q474" i="1"/>
  <c r="O614" i="1"/>
  <c r="P614" i="1"/>
  <c r="Q614" i="1"/>
  <c r="O112" i="1"/>
  <c r="P112" i="1"/>
  <c r="Q112" i="1"/>
  <c r="O38" i="1"/>
  <c r="P38" i="1"/>
  <c r="Q38" i="1"/>
  <c r="O221" i="1"/>
  <c r="P221" i="1"/>
  <c r="Q221" i="1"/>
  <c r="O702" i="1"/>
  <c r="P702" i="1"/>
  <c r="Q702" i="1"/>
  <c r="O44" i="1"/>
  <c r="P44" i="1"/>
  <c r="Q44" i="1"/>
  <c r="O536" i="1"/>
  <c r="B10" i="2" s="1" a="1"/>
  <c r="B10" i="2" s="1"/>
  <c r="P536" i="1"/>
  <c r="Q536" i="1"/>
  <c r="O933" i="1"/>
  <c r="P933" i="1"/>
  <c r="Q933" i="1"/>
  <c r="O690" i="1"/>
  <c r="P690" i="1"/>
  <c r="Q690" i="1"/>
  <c r="O960" i="1"/>
  <c r="P960" i="1"/>
  <c r="Q960" i="1"/>
  <c r="O544" i="1"/>
  <c r="P544" i="1"/>
  <c r="Q544" i="1"/>
  <c r="O446" i="1"/>
  <c r="P446" i="1"/>
  <c r="Q446" i="1"/>
  <c r="O616" i="1"/>
  <c r="P616" i="1"/>
  <c r="Q616" i="1"/>
  <c r="O919" i="1"/>
  <c r="P919" i="1"/>
  <c r="Q919" i="1"/>
  <c r="O723" i="1"/>
  <c r="P723" i="1"/>
  <c r="Q723" i="1"/>
  <c r="O209" i="1"/>
  <c r="P209" i="1"/>
  <c r="Q209" i="1"/>
  <c r="O546" i="1"/>
  <c r="P546" i="1"/>
  <c r="Q546" i="1"/>
  <c r="O722" i="1"/>
  <c r="P722" i="1"/>
  <c r="Q722" i="1"/>
  <c r="O92" i="1"/>
  <c r="P92" i="1"/>
  <c r="Q92" i="1"/>
  <c r="O304" i="1"/>
  <c r="P304" i="1"/>
  <c r="Q304" i="1"/>
  <c r="O454" i="1"/>
  <c r="P454" i="1"/>
  <c r="Q454" i="1"/>
  <c r="O106" i="1"/>
  <c r="P106" i="1"/>
  <c r="Q106" i="1"/>
  <c r="O360" i="1"/>
  <c r="P360" i="1"/>
  <c r="Q360" i="1"/>
  <c r="O808" i="1"/>
  <c r="P808" i="1"/>
  <c r="Q808" i="1"/>
  <c r="O630" i="1"/>
  <c r="P630" i="1"/>
  <c r="Q630" i="1"/>
  <c r="O809" i="1"/>
  <c r="P809" i="1"/>
  <c r="Q809" i="1"/>
  <c r="O653" i="1"/>
  <c r="P653" i="1"/>
  <c r="Q653" i="1"/>
  <c r="O217" i="1"/>
  <c r="P217" i="1"/>
  <c r="Q217" i="1"/>
  <c r="O256" i="1"/>
  <c r="P256" i="1"/>
  <c r="Q256" i="1"/>
  <c r="O634" i="1"/>
  <c r="P634" i="1"/>
  <c r="Q634" i="1"/>
  <c r="O184" i="1"/>
  <c r="P184" i="1"/>
  <c r="Q184" i="1"/>
  <c r="O404" i="1"/>
  <c r="P404" i="1"/>
  <c r="Q404" i="1"/>
  <c r="O188" i="1"/>
  <c r="P188" i="1"/>
  <c r="Q188" i="1"/>
  <c r="O449" i="1"/>
  <c r="P449" i="1"/>
  <c r="Q449" i="1"/>
  <c r="O491" i="1"/>
  <c r="P491" i="1"/>
  <c r="Q491" i="1"/>
  <c r="O708" i="1"/>
  <c r="P708" i="1"/>
  <c r="Q708" i="1"/>
  <c r="O813" i="1"/>
  <c r="P813" i="1"/>
  <c r="Q813" i="1"/>
  <c r="O293" i="1"/>
  <c r="P293" i="1"/>
  <c r="Q293" i="1"/>
  <c r="O307" i="1"/>
  <c r="P307" i="1"/>
  <c r="Q307" i="1"/>
  <c r="O879" i="1"/>
  <c r="P879" i="1"/>
  <c r="Q879" i="1"/>
  <c r="O944" i="1"/>
  <c r="P944" i="1"/>
  <c r="Q944" i="1"/>
  <c r="O849" i="1"/>
  <c r="P849" i="1"/>
  <c r="Q849" i="1"/>
  <c r="O796" i="1"/>
  <c r="P796" i="1"/>
  <c r="Q796" i="1"/>
  <c r="O127" i="1"/>
  <c r="P127" i="1"/>
  <c r="Q127" i="1"/>
  <c r="O784" i="1"/>
  <c r="P784" i="1"/>
  <c r="Q784" i="1"/>
  <c r="O48" i="1"/>
  <c r="P48" i="1"/>
  <c r="Q48" i="1"/>
  <c r="O413" i="1"/>
  <c r="P413" i="1"/>
  <c r="Q413" i="1"/>
  <c r="O168" i="1"/>
  <c r="P168" i="1"/>
  <c r="Q168" i="1"/>
  <c r="O922" i="1"/>
  <c r="P922" i="1"/>
  <c r="Q922" i="1"/>
  <c r="O461" i="1"/>
  <c r="P461" i="1"/>
  <c r="Q461" i="1"/>
  <c r="O464" i="1"/>
  <c r="P464" i="1"/>
  <c r="Q464" i="1"/>
  <c r="O164" i="1"/>
  <c r="P164" i="1"/>
  <c r="Q164" i="1"/>
  <c r="O344" i="1"/>
  <c r="P344" i="1"/>
  <c r="Q344" i="1"/>
  <c r="O277" i="1"/>
  <c r="P277" i="1"/>
  <c r="Q277" i="1"/>
  <c r="O646" i="1"/>
  <c r="P646" i="1"/>
  <c r="Q646" i="1"/>
  <c r="O232" i="1"/>
  <c r="P232" i="1"/>
  <c r="Q232" i="1"/>
  <c r="O986" i="1"/>
  <c r="P986" i="1"/>
  <c r="Q986" i="1"/>
  <c r="O49" i="1"/>
  <c r="P49" i="1"/>
  <c r="Q49" i="1"/>
  <c r="O842" i="1"/>
  <c r="P842" i="1"/>
  <c r="Q842" i="1"/>
  <c r="O45" i="1"/>
  <c r="P45" i="1"/>
  <c r="Q45" i="1"/>
  <c r="O261" i="1"/>
  <c r="P261" i="1"/>
  <c r="Q261" i="1"/>
  <c r="O620" i="1"/>
  <c r="P620" i="1"/>
  <c r="Q620" i="1"/>
  <c r="O108" i="1"/>
  <c r="P108" i="1"/>
  <c r="Q108" i="1"/>
  <c r="O511" i="1"/>
  <c r="P511" i="1"/>
  <c r="Q511" i="1"/>
  <c r="O845" i="1"/>
  <c r="P845" i="1"/>
  <c r="Q845" i="1"/>
  <c r="O579" i="1"/>
  <c r="P579" i="1"/>
  <c r="Q579" i="1"/>
  <c r="O395" i="1"/>
  <c r="P395" i="1"/>
  <c r="Q395" i="1"/>
  <c r="O787" i="1"/>
  <c r="P787" i="1"/>
  <c r="Q787" i="1"/>
  <c r="O367" i="1"/>
  <c r="P367" i="1"/>
  <c r="Q367" i="1"/>
  <c r="O995" i="1"/>
  <c r="P995" i="1"/>
  <c r="Q995" i="1"/>
  <c r="O633" i="1"/>
  <c r="P633" i="1"/>
  <c r="Q633" i="1"/>
  <c r="O303" i="1"/>
  <c r="P303" i="1"/>
  <c r="Q303" i="1"/>
  <c r="O764" i="1"/>
  <c r="P764" i="1"/>
  <c r="Q764" i="1"/>
  <c r="O295" i="1"/>
  <c r="P295" i="1"/>
  <c r="Q295" i="1"/>
  <c r="O854" i="1"/>
  <c r="P854" i="1"/>
  <c r="Q854" i="1"/>
  <c r="O131" i="1"/>
  <c r="P131" i="1"/>
  <c r="Q131" i="1"/>
  <c r="O573" i="1"/>
  <c r="P573" i="1"/>
  <c r="Q573" i="1"/>
  <c r="O110" i="1"/>
  <c r="P110" i="1"/>
  <c r="Q110" i="1"/>
  <c r="O296" i="1"/>
  <c r="P296" i="1"/>
  <c r="Q296" i="1"/>
  <c r="O149" i="1"/>
  <c r="P149" i="1"/>
  <c r="Q149" i="1"/>
  <c r="O738" i="1"/>
  <c r="P738" i="1"/>
  <c r="Q738" i="1"/>
  <c r="O798" i="1"/>
  <c r="P798" i="1"/>
  <c r="Q798" i="1"/>
  <c r="O479" i="1"/>
  <c r="P479" i="1"/>
  <c r="Q479" i="1"/>
  <c r="O781" i="1"/>
  <c r="P781" i="1"/>
  <c r="Q781" i="1"/>
  <c r="O252" i="1"/>
  <c r="P252" i="1"/>
  <c r="Q252" i="1"/>
  <c r="O272" i="1"/>
  <c r="P272" i="1"/>
  <c r="Q272" i="1"/>
  <c r="O1000" i="1"/>
  <c r="P1000" i="1"/>
  <c r="Q1000" i="1"/>
  <c r="O162" i="1"/>
  <c r="P162" i="1"/>
  <c r="Q162" i="1"/>
  <c r="O537" i="1"/>
  <c r="P537" i="1"/>
  <c r="Q537" i="1"/>
  <c r="O313" i="1"/>
  <c r="P313" i="1"/>
  <c r="Q313" i="1"/>
  <c r="O979" i="1"/>
  <c r="P979" i="1"/>
  <c r="Q979" i="1"/>
  <c r="O848" i="1"/>
  <c r="P848" i="1"/>
  <c r="Q848" i="1"/>
  <c r="O492" i="1"/>
  <c r="P492" i="1"/>
  <c r="Q492" i="1"/>
  <c r="O556" i="1"/>
  <c r="P556" i="1"/>
  <c r="Q556" i="1"/>
  <c r="O673" i="1"/>
  <c r="P673" i="1"/>
  <c r="Q673" i="1"/>
  <c r="O929" i="1"/>
  <c r="P929" i="1"/>
  <c r="Q929" i="1"/>
  <c r="O668" i="1"/>
  <c r="P668" i="1"/>
  <c r="Q668" i="1"/>
  <c r="O208" i="1"/>
  <c r="P208" i="1"/>
  <c r="Q208" i="1"/>
  <c r="O892" i="1"/>
  <c r="P892" i="1"/>
  <c r="Q892" i="1"/>
  <c r="O883" i="1"/>
  <c r="P883" i="1"/>
  <c r="Q883" i="1"/>
  <c r="O318" i="1"/>
  <c r="P318" i="1"/>
  <c r="Q318" i="1"/>
  <c r="O911" i="1"/>
  <c r="P911" i="1"/>
  <c r="Q911" i="1"/>
  <c r="O270" i="1"/>
  <c r="P270" i="1"/>
  <c r="Q270" i="1"/>
  <c r="O826" i="1"/>
  <c r="P826" i="1"/>
  <c r="Q826" i="1"/>
  <c r="O824" i="1"/>
  <c r="P824" i="1"/>
  <c r="Q824" i="1"/>
  <c r="O85" i="1"/>
  <c r="P85" i="1"/>
  <c r="Q85" i="1"/>
  <c r="O332" i="1"/>
  <c r="P332" i="1"/>
  <c r="Q332" i="1"/>
  <c r="O238" i="1"/>
  <c r="P238" i="1"/>
  <c r="Q238" i="1"/>
  <c r="O774" i="1"/>
  <c r="P774" i="1"/>
  <c r="Q774" i="1"/>
  <c r="O625" i="1"/>
  <c r="P625" i="1"/>
  <c r="Q625" i="1"/>
  <c r="O275" i="1"/>
  <c r="P275" i="1"/>
  <c r="Q275" i="1"/>
  <c r="O153" i="1"/>
  <c r="P153" i="1"/>
  <c r="Q153" i="1"/>
  <c r="O409" i="1"/>
  <c r="P409" i="1"/>
  <c r="Q409" i="1"/>
  <c r="O720" i="1"/>
  <c r="P720" i="1"/>
  <c r="Q720" i="1"/>
  <c r="O253" i="1"/>
  <c r="P253" i="1"/>
  <c r="Q253" i="1"/>
  <c r="O33" i="1"/>
  <c r="P33" i="1"/>
  <c r="Q33" i="1"/>
  <c r="O735" i="1"/>
  <c r="P735" i="1"/>
  <c r="Q735" i="1"/>
  <c r="O3" i="1"/>
  <c r="P3" i="1"/>
  <c r="Q3" i="1"/>
  <c r="O553" i="1"/>
  <c r="P553" i="1"/>
  <c r="Q553" i="1"/>
  <c r="O450" i="1"/>
  <c r="P450" i="1"/>
  <c r="Q450" i="1"/>
  <c r="O62" i="1"/>
  <c r="P62" i="1"/>
  <c r="Q62" i="1"/>
  <c r="O98" i="1"/>
  <c r="P98" i="1"/>
  <c r="Q98" i="1"/>
  <c r="O478" i="1"/>
  <c r="P478" i="1"/>
  <c r="Q478" i="1"/>
  <c r="O388" i="1"/>
  <c r="P388" i="1"/>
  <c r="Q388" i="1"/>
  <c r="O285" i="1"/>
  <c r="P285" i="1"/>
  <c r="Q285" i="1"/>
  <c r="O370" i="1"/>
  <c r="P370" i="1"/>
  <c r="Q370" i="1"/>
  <c r="O832" i="1"/>
  <c r="P832" i="1"/>
  <c r="Q832" i="1"/>
  <c r="O656" i="1"/>
  <c r="P656" i="1"/>
  <c r="Q656" i="1"/>
  <c r="O694" i="1"/>
  <c r="P694" i="1"/>
  <c r="Q694" i="1"/>
  <c r="O920" i="1"/>
  <c r="P920" i="1"/>
  <c r="Q920" i="1"/>
  <c r="O517" i="1"/>
  <c r="P517" i="1"/>
  <c r="Q517" i="1"/>
  <c r="O976" i="1"/>
  <c r="P976" i="1"/>
  <c r="Q976" i="1"/>
  <c r="O177" i="1"/>
  <c r="P177" i="1"/>
  <c r="Q177" i="1"/>
  <c r="O230" i="1"/>
  <c r="P230" i="1"/>
  <c r="Q230" i="1"/>
  <c r="O688" i="1"/>
  <c r="P688" i="1"/>
  <c r="Q688" i="1"/>
  <c r="O178" i="1"/>
  <c r="P178" i="1"/>
  <c r="Q178" i="1"/>
  <c r="O703" i="1"/>
  <c r="P703" i="1"/>
  <c r="Q703" i="1"/>
  <c r="O993" i="1"/>
  <c r="P993" i="1"/>
  <c r="Q993" i="1"/>
  <c r="O905" i="1"/>
  <c r="P905" i="1"/>
  <c r="Q905" i="1"/>
  <c r="O5" i="1"/>
  <c r="P5" i="1"/>
  <c r="Q5" i="1"/>
  <c r="O122" i="1"/>
  <c r="P122" i="1"/>
  <c r="Q122" i="1"/>
  <c r="O927" i="1"/>
  <c r="P927" i="1"/>
  <c r="Q927" i="1"/>
  <c r="O689" i="1"/>
  <c r="P689" i="1"/>
  <c r="Q689" i="1"/>
  <c r="O916" i="1"/>
  <c r="P916" i="1"/>
  <c r="Q916" i="1"/>
  <c r="O962" i="1"/>
  <c r="P962" i="1"/>
  <c r="Q962" i="1"/>
  <c r="O529" i="1"/>
  <c r="P529" i="1"/>
  <c r="Q529" i="1"/>
  <c r="O907" i="1"/>
  <c r="P907" i="1"/>
  <c r="Q907" i="1"/>
  <c r="O288" i="1"/>
  <c r="P288" i="1"/>
  <c r="Q288" i="1"/>
  <c r="O678" i="1"/>
  <c r="P678" i="1"/>
  <c r="Q678" i="1"/>
  <c r="O596" i="1"/>
  <c r="P596" i="1"/>
  <c r="Q596" i="1"/>
  <c r="O68" i="1"/>
  <c r="P68" i="1"/>
  <c r="Q68" i="1"/>
  <c r="O320" i="1"/>
  <c r="P320" i="1"/>
  <c r="Q320" i="1"/>
  <c r="O716" i="1"/>
  <c r="P716" i="1"/>
  <c r="Q716" i="1"/>
  <c r="O251" i="1"/>
  <c r="P251" i="1"/>
  <c r="Q251" i="1"/>
  <c r="O819" i="1"/>
  <c r="P819" i="1"/>
  <c r="Q819" i="1"/>
  <c r="O203" i="1"/>
  <c r="P203" i="1"/>
  <c r="Q203" i="1"/>
  <c r="O196" i="1"/>
  <c r="P196" i="1"/>
  <c r="Q196" i="1"/>
  <c r="O336" i="1"/>
  <c r="P336" i="1"/>
  <c r="Q336" i="1"/>
  <c r="O665" i="1"/>
  <c r="P665" i="1"/>
  <c r="Q665" i="1"/>
  <c r="O337" i="1"/>
  <c r="P337" i="1"/>
  <c r="Q337" i="1"/>
  <c r="O435" i="1"/>
  <c r="P435" i="1"/>
  <c r="Q435" i="1"/>
  <c r="O751" i="1"/>
  <c r="P751" i="1"/>
  <c r="Q751" i="1"/>
  <c r="O872" i="1"/>
  <c r="P872" i="1"/>
  <c r="Q872" i="1"/>
  <c r="O871" i="1"/>
  <c r="P871" i="1"/>
  <c r="Q871" i="1"/>
  <c r="O86" i="1"/>
  <c r="P86" i="1"/>
  <c r="Q86" i="1"/>
  <c r="O397" i="1"/>
  <c r="P397" i="1"/>
  <c r="Q397" i="1"/>
  <c r="O498" i="1"/>
  <c r="P498" i="1"/>
  <c r="Q498" i="1"/>
  <c r="O416" i="1"/>
  <c r="P416" i="1"/>
  <c r="Q416" i="1"/>
  <c r="O430" i="1"/>
  <c r="P430" i="1"/>
  <c r="Q430" i="1"/>
  <c r="O345" i="1"/>
  <c r="P345" i="1"/>
  <c r="Q345" i="1"/>
  <c r="O934" i="1"/>
  <c r="P934" i="1"/>
  <c r="Q934" i="1"/>
  <c r="O57" i="1"/>
  <c r="P57" i="1"/>
  <c r="Q57" i="1"/>
  <c r="O94" i="1"/>
  <c r="P94" i="1"/>
  <c r="Q94" i="1"/>
  <c r="O105" i="1"/>
  <c r="P105" i="1"/>
  <c r="Q105" i="1"/>
  <c r="O869" i="1"/>
  <c r="P869" i="1"/>
  <c r="Q869" i="1"/>
  <c r="O925" i="1"/>
  <c r="P925" i="1"/>
  <c r="Q925" i="1"/>
  <c r="O443" i="1"/>
  <c r="P443" i="1"/>
  <c r="Q443" i="1"/>
  <c r="O516" i="1"/>
  <c r="P516" i="1"/>
  <c r="Q516" i="1"/>
  <c r="O851" i="1"/>
  <c r="P851" i="1"/>
  <c r="Q851" i="1"/>
  <c r="O650" i="1"/>
  <c r="P650" i="1"/>
  <c r="Q650" i="1"/>
  <c r="O747" i="1"/>
  <c r="P747" i="1"/>
  <c r="Q747" i="1"/>
  <c r="O753" i="1"/>
  <c r="P753" i="1"/>
  <c r="Q753" i="1"/>
  <c r="O265" i="1"/>
  <c r="P265" i="1"/>
  <c r="Q265" i="1"/>
  <c r="O377" i="1"/>
  <c r="P377" i="1"/>
  <c r="Q377" i="1"/>
  <c r="O811" i="1"/>
  <c r="P811" i="1"/>
  <c r="Q811" i="1"/>
  <c r="O412" i="1"/>
  <c r="P412" i="1"/>
  <c r="Q412" i="1"/>
  <c r="O760" i="1"/>
  <c r="P760" i="1"/>
  <c r="Q760" i="1"/>
  <c r="O599" i="1"/>
  <c r="P599" i="1"/>
  <c r="Q599" i="1"/>
  <c r="O353" i="1"/>
  <c r="P353" i="1"/>
  <c r="Q353" i="1"/>
  <c r="O651" i="1"/>
  <c r="P651" i="1"/>
  <c r="Q651" i="1"/>
  <c r="O897" i="1"/>
  <c r="P897" i="1"/>
  <c r="Q897" i="1"/>
  <c r="O383" i="1"/>
  <c r="P383" i="1"/>
  <c r="Q383" i="1"/>
  <c r="O239" i="1"/>
  <c r="P239" i="1"/>
  <c r="Q239" i="1"/>
  <c r="O868" i="1"/>
  <c r="P868" i="1"/>
  <c r="Q868" i="1"/>
  <c r="O942" i="1"/>
  <c r="P942" i="1"/>
  <c r="Q942" i="1"/>
  <c r="O96" i="1"/>
  <c r="P96" i="1"/>
  <c r="Q96" i="1"/>
  <c r="O254" i="1"/>
  <c r="P254" i="1"/>
  <c r="Q254" i="1"/>
  <c r="O982" i="1"/>
  <c r="P982" i="1"/>
  <c r="Q982" i="1"/>
  <c r="O877" i="1"/>
  <c r="P877" i="1"/>
  <c r="Q877" i="1"/>
  <c r="O676" i="1"/>
  <c r="P676" i="1"/>
  <c r="Q676" i="1"/>
  <c r="O773" i="1"/>
  <c r="P773" i="1"/>
  <c r="Q773" i="1"/>
  <c r="O436" i="1"/>
  <c r="P436" i="1"/>
  <c r="Q436" i="1"/>
  <c r="O322" i="1"/>
  <c r="P322" i="1"/>
  <c r="Q322" i="1"/>
  <c r="O325" i="1"/>
  <c r="P325" i="1"/>
  <c r="Q325" i="1"/>
  <c r="O718" i="1"/>
  <c r="P718" i="1"/>
  <c r="Q718" i="1"/>
  <c r="O444" i="1"/>
  <c r="P444" i="1"/>
  <c r="Q444" i="1"/>
  <c r="O928" i="1"/>
  <c r="P928" i="1"/>
  <c r="Q928" i="1"/>
  <c r="O776" i="1"/>
  <c r="P776" i="1"/>
  <c r="Q776" i="1"/>
  <c r="O468" i="1"/>
  <c r="P468" i="1"/>
  <c r="Q468" i="1"/>
  <c r="O997" i="1"/>
  <c r="P997" i="1"/>
  <c r="Q997" i="1"/>
  <c r="O458" i="1"/>
  <c r="P458" i="1"/>
  <c r="Q458" i="1"/>
  <c r="O631" i="1"/>
  <c r="P631" i="1"/>
  <c r="Q631" i="1"/>
  <c r="O366" i="1"/>
  <c r="P366" i="1"/>
  <c r="Q366" i="1"/>
  <c r="O586" i="1"/>
  <c r="P586" i="1"/>
  <c r="Q586" i="1"/>
  <c r="O414" i="1"/>
  <c r="P414" i="1"/>
  <c r="Q414" i="1"/>
  <c r="O27" i="1"/>
  <c r="P27" i="1"/>
  <c r="Q27" i="1"/>
  <c r="O226" i="1"/>
  <c r="P226" i="1"/>
  <c r="Q226" i="1"/>
  <c r="O83" i="1"/>
  <c r="P83" i="1"/>
  <c r="Q83" i="1"/>
  <c r="O316" i="1"/>
  <c r="P316" i="1"/>
  <c r="Q316" i="1"/>
  <c r="O792" i="1"/>
  <c r="P792" i="1"/>
  <c r="Q792" i="1"/>
  <c r="O750" i="1"/>
  <c r="P750" i="1"/>
  <c r="Q750" i="1"/>
  <c r="O575" i="1"/>
  <c r="P575" i="1"/>
  <c r="Q575" i="1"/>
  <c r="O710" i="1"/>
  <c r="P710" i="1"/>
  <c r="Q710" i="1"/>
  <c r="O932" i="1"/>
  <c r="P932" i="1"/>
  <c r="Q932" i="1"/>
  <c r="O191" i="1"/>
  <c r="P191" i="1"/>
  <c r="Q191" i="1"/>
  <c r="O248" i="1"/>
  <c r="P248" i="1"/>
  <c r="Q248" i="1"/>
  <c r="O924" i="1"/>
  <c r="P924" i="1"/>
  <c r="Q924" i="1"/>
  <c r="O550" i="1"/>
  <c r="P550" i="1"/>
  <c r="Q550" i="1"/>
  <c r="O930" i="1"/>
  <c r="P930" i="1"/>
  <c r="Q930" i="1"/>
  <c r="O941" i="1"/>
  <c r="P941" i="1"/>
  <c r="Q941" i="1"/>
  <c r="O183" i="1"/>
  <c r="P183" i="1"/>
  <c r="Q183" i="1"/>
  <c r="O327" i="1"/>
  <c r="P327" i="1"/>
  <c r="Q327" i="1"/>
  <c r="O302" i="1"/>
  <c r="P302" i="1"/>
  <c r="Q302" i="1"/>
  <c r="O271" i="1"/>
  <c r="P271" i="1"/>
  <c r="Q271" i="1"/>
  <c r="O791" i="1"/>
  <c r="P791" i="1"/>
  <c r="Q791" i="1"/>
  <c r="O931" i="1"/>
  <c r="P931" i="1"/>
  <c r="Q931" i="1"/>
  <c r="O292" i="1"/>
  <c r="P292" i="1"/>
  <c r="Q292" i="1"/>
  <c r="O891" i="1"/>
  <c r="P891" i="1"/>
  <c r="Q891" i="1"/>
  <c r="O755" i="1"/>
  <c r="P755" i="1"/>
  <c r="Q755" i="1"/>
  <c r="O909" i="1"/>
  <c r="P909" i="1"/>
  <c r="Q909" i="1"/>
  <c r="O169" i="1"/>
  <c r="P169" i="1"/>
  <c r="Q169" i="1"/>
  <c r="O917" i="1"/>
  <c r="P917" i="1"/>
  <c r="Q917" i="1"/>
  <c r="O55" i="1"/>
  <c r="P55" i="1"/>
  <c r="Q55" i="1"/>
  <c r="O679" i="1"/>
  <c r="P679" i="1"/>
  <c r="Q679" i="1"/>
  <c r="O441" i="1"/>
  <c r="P441" i="1"/>
  <c r="Q441" i="1"/>
  <c r="O836" i="1"/>
  <c r="P836" i="1"/>
  <c r="Q836" i="1"/>
  <c r="O206" i="1"/>
  <c r="P206" i="1"/>
  <c r="Q206" i="1"/>
  <c r="O657" i="1"/>
  <c r="P657" i="1"/>
  <c r="Q657" i="1"/>
  <c r="O193" i="1"/>
  <c r="P193" i="1"/>
  <c r="Q193" i="1"/>
  <c r="O171" i="1"/>
  <c r="P171" i="1"/>
  <c r="Q171" i="1"/>
  <c r="O954" i="1"/>
  <c r="P954" i="1"/>
  <c r="Q954" i="1"/>
  <c r="O136" i="1"/>
  <c r="P136" i="1"/>
  <c r="Q136" i="1"/>
  <c r="O888" i="1"/>
  <c r="P888" i="1"/>
  <c r="Q888" i="1"/>
  <c r="O422" i="1"/>
  <c r="P422" i="1"/>
  <c r="Q422" i="1"/>
  <c r="O89" i="1"/>
  <c r="P89" i="1"/>
  <c r="Q89" i="1"/>
  <c r="O187" i="1"/>
  <c r="P187" i="1"/>
  <c r="Q187" i="1"/>
  <c r="O211" i="1"/>
  <c r="P211" i="1"/>
  <c r="Q211" i="1"/>
  <c r="O280" i="1"/>
  <c r="P280" i="1"/>
  <c r="Q280" i="1"/>
  <c r="O543" i="1"/>
  <c r="P543" i="1"/>
  <c r="Q543" i="1"/>
  <c r="O637" i="1"/>
  <c r="P637" i="1"/>
  <c r="Q637" i="1"/>
  <c r="O732" i="1"/>
  <c r="P732" i="1"/>
  <c r="Q732" i="1"/>
  <c r="O63" i="1"/>
  <c r="P63" i="1"/>
  <c r="Q63" i="1"/>
  <c r="O547" i="1"/>
  <c r="P547" i="1"/>
  <c r="Q547" i="1"/>
  <c r="O674" i="1"/>
  <c r="P674" i="1"/>
  <c r="Q674" i="1"/>
  <c r="O629" i="1"/>
  <c r="P629" i="1"/>
  <c r="Q629" i="1"/>
  <c r="O453" i="1"/>
  <c r="P453" i="1"/>
  <c r="Q453" i="1"/>
  <c r="O818" i="1"/>
  <c r="P818" i="1"/>
  <c r="Q818" i="1"/>
  <c r="O60" i="1"/>
  <c r="P60" i="1"/>
  <c r="Q60" i="1"/>
  <c r="O104" i="1"/>
  <c r="P104" i="1"/>
  <c r="Q104" i="1"/>
  <c r="O568" i="1"/>
  <c r="P568" i="1"/>
  <c r="Q568" i="1"/>
  <c r="O361" i="1"/>
  <c r="P361" i="1"/>
  <c r="Q361" i="1"/>
  <c r="O545" i="1"/>
  <c r="P545" i="1"/>
  <c r="Q545" i="1"/>
  <c r="O901" i="1"/>
  <c r="P901" i="1"/>
  <c r="Q901" i="1"/>
  <c r="O989" i="1"/>
  <c r="P989" i="1"/>
  <c r="Q989" i="1"/>
  <c r="O359" i="1"/>
  <c r="P359" i="1"/>
  <c r="Q359" i="1"/>
  <c r="O134" i="1"/>
  <c r="P134" i="1"/>
  <c r="Q134" i="1"/>
  <c r="O215" i="1"/>
  <c r="P215" i="1"/>
  <c r="Q215" i="1"/>
  <c r="O866" i="1"/>
  <c r="P866" i="1"/>
  <c r="Q866" i="1"/>
  <c r="O903" i="1"/>
  <c r="P903" i="1"/>
  <c r="Q903" i="1"/>
  <c r="O260" i="1"/>
  <c r="P260" i="1"/>
  <c r="Q260" i="1"/>
  <c r="O714" i="1"/>
  <c r="P714" i="1"/>
  <c r="Q714" i="1"/>
  <c r="O297" i="1"/>
  <c r="P297" i="1"/>
  <c r="Q297" i="1"/>
  <c r="O621" i="1"/>
  <c r="P621" i="1"/>
  <c r="Q621" i="1"/>
  <c r="O817" i="1"/>
  <c r="P817" i="1"/>
  <c r="Q817" i="1"/>
  <c r="O505" i="1"/>
  <c r="P505" i="1"/>
  <c r="Q505" i="1"/>
  <c r="O912" i="1"/>
  <c r="P912" i="1"/>
  <c r="Q912" i="1"/>
  <c r="O658" i="1"/>
  <c r="P658" i="1"/>
  <c r="Q658" i="1"/>
  <c r="O482" i="1"/>
  <c r="P482" i="1"/>
  <c r="Q482" i="1"/>
  <c r="O588" i="1"/>
  <c r="P588" i="1"/>
  <c r="Q588" i="1"/>
  <c r="O790" i="1"/>
  <c r="P790" i="1"/>
  <c r="Q790" i="1"/>
  <c r="O387" i="1"/>
  <c r="P387" i="1"/>
  <c r="Q387" i="1"/>
  <c r="O247" i="1"/>
  <c r="P247" i="1"/>
  <c r="Q247" i="1"/>
  <c r="O12" i="1"/>
  <c r="P12" i="1"/>
  <c r="Q12" i="1"/>
  <c r="O565" i="1"/>
  <c r="P565" i="1"/>
  <c r="Q565" i="1"/>
  <c r="O145" i="1"/>
  <c r="P145" i="1"/>
  <c r="Q145" i="1"/>
  <c r="O93" i="1"/>
  <c r="P93" i="1"/>
  <c r="Q93" i="1"/>
  <c r="O276" i="1"/>
  <c r="P276" i="1"/>
  <c r="Q276" i="1"/>
  <c r="O990" i="1"/>
  <c r="P990" i="1"/>
  <c r="Q990" i="1"/>
  <c r="O71" i="1"/>
  <c r="P71" i="1"/>
  <c r="Q71" i="1"/>
  <c r="O233" i="1"/>
  <c r="P233" i="1"/>
  <c r="Q233" i="1"/>
  <c r="O569" i="1"/>
  <c r="P569" i="1"/>
  <c r="Q569" i="1"/>
  <c r="O76" i="1"/>
  <c r="P76" i="1"/>
  <c r="Q76" i="1"/>
  <c r="O858" i="1"/>
  <c r="P858" i="1"/>
  <c r="Q858" i="1"/>
  <c r="O816" i="1"/>
  <c r="P816" i="1"/>
  <c r="Q816" i="1"/>
  <c r="O627" i="1"/>
  <c r="P627" i="1"/>
  <c r="Q627" i="1"/>
  <c r="O838" i="1"/>
  <c r="P838" i="1"/>
  <c r="Q838" i="1"/>
  <c r="O855" i="1"/>
  <c r="P855" i="1"/>
  <c r="Q855" i="1"/>
  <c r="O228" i="1"/>
  <c r="P228" i="1"/>
  <c r="Q228" i="1"/>
  <c r="O793" i="1"/>
  <c r="P793" i="1"/>
  <c r="Q793" i="1"/>
  <c r="O612" i="1"/>
  <c r="P612" i="1"/>
  <c r="Q612" i="1"/>
  <c r="O591" i="1"/>
  <c r="P591" i="1"/>
  <c r="Q591" i="1"/>
  <c r="O158" i="1"/>
  <c r="P158" i="1"/>
  <c r="Q158" i="1"/>
  <c r="O728" i="1"/>
  <c r="P728" i="1"/>
  <c r="Q728" i="1"/>
  <c r="O510" i="1"/>
  <c r="P510" i="1"/>
  <c r="Q510" i="1"/>
  <c r="O731" i="1"/>
  <c r="P731" i="1"/>
  <c r="Q731" i="1"/>
  <c r="O42" i="1"/>
  <c r="P42" i="1"/>
  <c r="Q42" i="1"/>
  <c r="O121" i="1"/>
  <c r="P121" i="1"/>
  <c r="Q121" i="1"/>
  <c r="O622" i="1"/>
  <c r="P622" i="1"/>
  <c r="Q622" i="1"/>
  <c r="O301" i="1"/>
  <c r="P301" i="1"/>
  <c r="Q301" i="1"/>
  <c r="O312" i="1"/>
  <c r="P312" i="1"/>
  <c r="Q312" i="1"/>
  <c r="O644" i="1"/>
  <c r="P644" i="1"/>
  <c r="Q644" i="1"/>
  <c r="O937" i="1"/>
  <c r="P937" i="1"/>
  <c r="Q937" i="1"/>
  <c r="O873" i="1"/>
  <c r="P873" i="1"/>
  <c r="Q873" i="1"/>
  <c r="O120" i="1"/>
  <c r="P120" i="1"/>
  <c r="Q120" i="1"/>
  <c r="O410" i="1"/>
  <c r="P410" i="1"/>
  <c r="Q410" i="1"/>
  <c r="O605" i="1"/>
  <c r="P605" i="1"/>
  <c r="Q605" i="1"/>
  <c r="O950" i="1"/>
  <c r="P950" i="1"/>
  <c r="Q950" i="1"/>
  <c r="O996" i="1"/>
  <c r="P996" i="1"/>
  <c r="Q996" i="1"/>
  <c r="O525" i="1"/>
  <c r="P525" i="1"/>
  <c r="Q525" i="1"/>
  <c r="O820" i="1"/>
  <c r="P820" i="1"/>
  <c r="Q820" i="1"/>
  <c r="O113" i="1"/>
  <c r="P113" i="1"/>
  <c r="Q113" i="1"/>
  <c r="O632" i="1"/>
  <c r="P632" i="1"/>
  <c r="Q632" i="1"/>
  <c r="O782" i="1"/>
  <c r="P782" i="1"/>
  <c r="Q782" i="1"/>
  <c r="O384" i="1"/>
  <c r="P384" i="1"/>
  <c r="Q384" i="1"/>
  <c r="O236" i="1"/>
  <c r="P236" i="1"/>
  <c r="Q236" i="1"/>
  <c r="O9" i="1"/>
  <c r="P9" i="1"/>
  <c r="Q9" i="1"/>
  <c r="O405" i="1"/>
  <c r="P405" i="1"/>
  <c r="Q405" i="1"/>
  <c r="O216" i="1"/>
  <c r="P216" i="1"/>
  <c r="Q216" i="1"/>
  <c r="O988" i="1"/>
  <c r="P988" i="1"/>
  <c r="Q988" i="1"/>
  <c r="O846" i="1"/>
  <c r="P846" i="1"/>
  <c r="Q846" i="1"/>
  <c r="O898" i="1"/>
  <c r="P898" i="1"/>
  <c r="Q898" i="1"/>
  <c r="O34" i="1"/>
  <c r="P34" i="1"/>
  <c r="Q34" i="1"/>
  <c r="O803" i="1"/>
  <c r="P803" i="1"/>
  <c r="Q803" i="1"/>
  <c r="O245" i="1"/>
  <c r="P245" i="1"/>
  <c r="Q245" i="1"/>
  <c r="O958" i="1"/>
  <c r="P958" i="1"/>
  <c r="Q958" i="1"/>
  <c r="O480" i="1"/>
  <c r="P480" i="1"/>
  <c r="Q480" i="1"/>
  <c r="O186" i="1"/>
  <c r="P186" i="1"/>
  <c r="Q186" i="1"/>
  <c r="O234" i="1"/>
  <c r="P234" i="1"/>
  <c r="Q234" i="1"/>
  <c r="O805" i="1"/>
  <c r="P805" i="1"/>
  <c r="Q805" i="1"/>
  <c r="O399" i="1"/>
  <c r="P399" i="1"/>
  <c r="Q399" i="1"/>
  <c r="O822" i="1"/>
  <c r="P822" i="1"/>
  <c r="Q822" i="1"/>
  <c r="O951" i="1"/>
  <c r="P951" i="1"/>
  <c r="Q951" i="1"/>
  <c r="O557" i="1"/>
  <c r="P557" i="1"/>
  <c r="Q557" i="1"/>
  <c r="O488" i="1"/>
  <c r="P488" i="1"/>
  <c r="Q488" i="1"/>
  <c r="O953" i="1"/>
  <c r="P953" i="1"/>
  <c r="Q953" i="1"/>
  <c r="O495" i="1"/>
  <c r="P495" i="1"/>
  <c r="Q495" i="1"/>
  <c r="O725" i="1"/>
  <c r="P725" i="1"/>
  <c r="Q725" i="1"/>
  <c r="O47" i="1"/>
  <c r="P47" i="1"/>
  <c r="Q47" i="1"/>
  <c r="O649" i="1"/>
  <c r="P649" i="1"/>
  <c r="Q649" i="1"/>
  <c r="O72" i="1"/>
  <c r="P72" i="1"/>
  <c r="Q72" i="1"/>
  <c r="O860" i="1"/>
  <c r="P860" i="1"/>
  <c r="Q860" i="1"/>
  <c r="O497" i="1"/>
  <c r="P497" i="1"/>
  <c r="Q497" i="1"/>
  <c r="O219" i="1"/>
  <c r="P219" i="1"/>
  <c r="Q219" i="1"/>
  <c r="O434" i="1"/>
  <c r="P434" i="1"/>
  <c r="Q434" i="1"/>
  <c r="O138" i="1"/>
  <c r="P138" i="1"/>
  <c r="Q138" i="1"/>
  <c r="O795" i="1"/>
  <c r="P795" i="1"/>
  <c r="Q795" i="1"/>
  <c r="O677" i="1"/>
  <c r="P677" i="1"/>
  <c r="Q677" i="1"/>
  <c r="O780" i="1"/>
  <c r="P780" i="1"/>
  <c r="Q780" i="1"/>
  <c r="O765" i="1"/>
  <c r="P765" i="1"/>
  <c r="Q765" i="1"/>
  <c r="O428" i="1"/>
  <c r="P428" i="1"/>
  <c r="Q428" i="1"/>
  <c r="O974" i="1"/>
  <c r="P974" i="1"/>
  <c r="Q974" i="1"/>
  <c r="O762" i="1"/>
  <c r="P762" i="1"/>
  <c r="Q762" i="1"/>
  <c r="O524" i="1"/>
  <c r="P524" i="1"/>
  <c r="Q524" i="1"/>
  <c r="O429" i="1"/>
  <c r="P429" i="1"/>
  <c r="Q429" i="1"/>
  <c r="O64" i="1"/>
  <c r="P64" i="1"/>
  <c r="Q64" i="1"/>
  <c r="O652" i="1"/>
  <c r="P652" i="1"/>
  <c r="Q652" i="1"/>
  <c r="O618" i="1"/>
  <c r="P618" i="1"/>
  <c r="Q618" i="1"/>
  <c r="O785" i="1"/>
  <c r="P785" i="1"/>
  <c r="Q785" i="1"/>
  <c r="O16" i="1"/>
  <c r="P16" i="1"/>
  <c r="Q16" i="1"/>
  <c r="O850" i="1"/>
  <c r="P850" i="1"/>
  <c r="Q850" i="1"/>
  <c r="O465" i="1"/>
  <c r="P465" i="1"/>
  <c r="Q465" i="1"/>
  <c r="O956" i="1"/>
  <c r="P956" i="1"/>
  <c r="Q956" i="1"/>
  <c r="O342" i="1"/>
  <c r="P342" i="1"/>
  <c r="Q342" i="1"/>
  <c r="O700" i="1"/>
  <c r="P700" i="1"/>
  <c r="Q700" i="1"/>
  <c r="O733" i="1"/>
  <c r="P733" i="1"/>
  <c r="Q733" i="1"/>
  <c r="O356" i="1"/>
  <c r="P356" i="1"/>
  <c r="Q356" i="1"/>
  <c r="O503" i="1"/>
  <c r="P503" i="1"/>
  <c r="Q503" i="1"/>
  <c r="O560" i="1"/>
  <c r="P560" i="1"/>
  <c r="Q560" i="1"/>
  <c r="O693" i="1"/>
  <c r="P693" i="1"/>
  <c r="Q693" i="1"/>
  <c r="O697" i="1"/>
  <c r="P697" i="1"/>
  <c r="Q697" i="1"/>
  <c r="O975" i="1"/>
  <c r="P975" i="1"/>
  <c r="Q975" i="1"/>
  <c r="O88" i="1"/>
  <c r="P88" i="1"/>
  <c r="Q88" i="1"/>
  <c r="O746" i="1"/>
  <c r="P746" i="1"/>
  <c r="Q746" i="1"/>
  <c r="O447" i="1"/>
  <c r="P447" i="1"/>
  <c r="Q447" i="1"/>
  <c r="O531" i="1"/>
  <c r="P531" i="1"/>
  <c r="Q531" i="1"/>
  <c r="O598" i="1"/>
  <c r="P598" i="1"/>
  <c r="Q598" i="1"/>
  <c r="O913" i="1"/>
  <c r="P913" i="1"/>
  <c r="Q913" i="1"/>
  <c r="O594" i="1"/>
  <c r="P594" i="1"/>
  <c r="Q594" i="1"/>
  <c r="O502" i="1"/>
  <c r="P502" i="1"/>
  <c r="Q502" i="1"/>
  <c r="O109" i="1"/>
  <c r="P109" i="1"/>
  <c r="Q109" i="1"/>
  <c r="O291" i="1"/>
  <c r="P291" i="1"/>
  <c r="Q291" i="1"/>
  <c r="O451" i="1"/>
  <c r="P451" i="1"/>
  <c r="Q451" i="1"/>
  <c r="O51" i="1"/>
  <c r="P51" i="1"/>
  <c r="Q51" i="1"/>
  <c r="O262" i="1"/>
  <c r="P262" i="1"/>
  <c r="Q262" i="1"/>
  <c r="O528" i="1"/>
  <c r="P528" i="1"/>
  <c r="Q528" i="1"/>
  <c r="O966" i="1"/>
  <c r="P966" i="1"/>
  <c r="Q966" i="1"/>
  <c r="O839" i="1"/>
  <c r="P839" i="1"/>
  <c r="Q839" i="1"/>
  <c r="O636" i="1"/>
  <c r="P636" i="1"/>
  <c r="Q636" i="1"/>
  <c r="O763" i="1"/>
  <c r="P763" i="1"/>
  <c r="Q763" i="1"/>
  <c r="O189" i="1"/>
  <c r="P189" i="1"/>
  <c r="Q189" i="1"/>
  <c r="O628" i="1"/>
  <c r="P628" i="1"/>
  <c r="Q628" i="1"/>
  <c r="O957" i="1"/>
  <c r="P957" i="1"/>
  <c r="Q957" i="1"/>
  <c r="O853" i="1"/>
  <c r="P853" i="1"/>
  <c r="Q853" i="1"/>
  <c r="O165" i="1"/>
  <c r="P165" i="1"/>
  <c r="Q165" i="1"/>
  <c r="O393" i="1"/>
  <c r="P393" i="1"/>
  <c r="Q393" i="1"/>
  <c r="O508" i="1"/>
  <c r="P508" i="1"/>
  <c r="Q508" i="1"/>
  <c r="O549" i="1"/>
  <c r="P549" i="1"/>
  <c r="Q549" i="1"/>
  <c r="O391" i="1"/>
  <c r="P391" i="1"/>
  <c r="Q391" i="1"/>
  <c r="O151" i="1"/>
  <c r="P151" i="1"/>
  <c r="Q151" i="1"/>
  <c r="O290" i="1"/>
  <c r="P290" i="1"/>
  <c r="Q290" i="1"/>
  <c r="O840" i="1"/>
  <c r="P840" i="1"/>
  <c r="Q840" i="1"/>
  <c r="O460" i="1"/>
  <c r="P460" i="1"/>
  <c r="Q460" i="1"/>
  <c r="O198" i="1"/>
  <c r="P198" i="1"/>
  <c r="Q198" i="1"/>
  <c r="O752" i="1"/>
  <c r="P752" i="1"/>
  <c r="Q752" i="1"/>
  <c r="O641" i="1"/>
  <c r="P641" i="1"/>
  <c r="Q641" i="1"/>
  <c r="O949" i="1"/>
  <c r="P949" i="1"/>
  <c r="Q949" i="1"/>
  <c r="O6" i="1"/>
  <c r="P6" i="1"/>
  <c r="Q6" i="1"/>
  <c r="O389" i="1"/>
  <c r="P389" i="1"/>
  <c r="Q389" i="1"/>
  <c r="O999" i="1"/>
  <c r="P999" i="1"/>
  <c r="Q999" i="1"/>
  <c r="O282" i="1"/>
  <c r="P282" i="1"/>
  <c r="Q282" i="1"/>
  <c r="O259" i="1"/>
  <c r="P259" i="1"/>
  <c r="Q259" i="1"/>
  <c r="O40" i="1"/>
  <c r="P40" i="1"/>
  <c r="Q40" i="1"/>
  <c r="O61" i="1"/>
  <c r="P61" i="1"/>
  <c r="Q61" i="1"/>
  <c r="O741" i="1"/>
  <c r="P741" i="1"/>
  <c r="Q741" i="1"/>
  <c r="O487" i="1"/>
  <c r="P487" i="1"/>
  <c r="Q487" i="1"/>
  <c r="O398" i="1"/>
  <c r="P398" i="1"/>
  <c r="Q398" i="1"/>
  <c r="O915" i="1"/>
  <c r="P915" i="1"/>
  <c r="Q915" i="1"/>
  <c r="O74" i="1"/>
  <c r="P74" i="1"/>
  <c r="Q74" i="1"/>
  <c r="O526" i="1"/>
  <c r="P526" i="1"/>
  <c r="Q526" i="1"/>
  <c r="O132" i="1"/>
  <c r="P132" i="1"/>
  <c r="Q132" i="1"/>
  <c r="O548" i="1"/>
  <c r="P548" i="1"/>
  <c r="Q548" i="1"/>
  <c r="O77" i="1"/>
  <c r="P77" i="1"/>
  <c r="Q77" i="1"/>
  <c r="O829" i="1"/>
  <c r="P829" i="1"/>
  <c r="Q829" i="1"/>
  <c r="O570" i="1"/>
  <c r="P570" i="1"/>
  <c r="Q570" i="1"/>
  <c r="O298" i="1"/>
  <c r="P298" i="1"/>
  <c r="Q298" i="1"/>
  <c r="O555" i="1"/>
  <c r="P555" i="1"/>
  <c r="Q555" i="1"/>
  <c r="O69" i="1"/>
  <c r="P69" i="1"/>
  <c r="Q69" i="1"/>
  <c r="O431" i="1"/>
  <c r="P431" i="1"/>
  <c r="Q431" i="1"/>
  <c r="O534" i="1"/>
  <c r="P534" i="1"/>
  <c r="Q534" i="1"/>
  <c r="O442" i="1"/>
  <c r="P442" i="1"/>
  <c r="Q442" i="1"/>
  <c r="O26" i="1"/>
  <c r="P26" i="1"/>
  <c r="Q26" i="1"/>
  <c r="O576" i="1"/>
  <c r="P576" i="1"/>
  <c r="Q576" i="1"/>
  <c r="O231" i="1"/>
  <c r="P231" i="1"/>
  <c r="Q231" i="1"/>
  <c r="O821" i="1"/>
  <c r="P821" i="1"/>
  <c r="Q821" i="1"/>
  <c r="O744" i="1"/>
  <c r="P744" i="1"/>
  <c r="Q744" i="1"/>
  <c r="O418" i="1"/>
  <c r="P418" i="1"/>
  <c r="Q418" i="1"/>
  <c r="O73" i="1"/>
  <c r="P73" i="1"/>
  <c r="Q73" i="1"/>
  <c r="O472" i="1"/>
  <c r="P472" i="1"/>
  <c r="Q472" i="1"/>
  <c r="O53" i="1"/>
  <c r="P53" i="1"/>
  <c r="Q53" i="1"/>
  <c r="O768" i="1"/>
  <c r="P768" i="1"/>
  <c r="Q768" i="1"/>
  <c r="O142" i="1"/>
  <c r="P142" i="1"/>
  <c r="Q142" i="1"/>
  <c r="O207" i="1"/>
  <c r="P207" i="1"/>
  <c r="Q207" i="1"/>
  <c r="O567" i="1"/>
  <c r="P567" i="1"/>
  <c r="Q567" i="1"/>
  <c r="O440" i="1"/>
  <c r="P440" i="1"/>
  <c r="Q440" i="1"/>
  <c r="O242" i="1"/>
  <c r="P242" i="1"/>
  <c r="Q242" i="1"/>
  <c r="O1001" i="1"/>
  <c r="P1001" i="1"/>
  <c r="Q1001" i="1"/>
  <c r="O563" i="1"/>
  <c r="P563" i="1"/>
  <c r="Q563" i="1"/>
  <c r="O584" i="1"/>
  <c r="P584" i="1"/>
  <c r="Q584" i="1"/>
  <c r="O726" i="1"/>
  <c r="P726" i="1"/>
  <c r="Q726" i="1"/>
  <c r="O400" i="1"/>
  <c r="P400" i="1"/>
  <c r="Q400" i="1"/>
  <c r="O192" i="1"/>
  <c r="P192" i="1"/>
  <c r="Q192" i="1"/>
  <c r="O152" i="1"/>
  <c r="P152" i="1"/>
  <c r="Q152" i="1"/>
  <c r="O90" i="1"/>
  <c r="P90" i="1"/>
  <c r="Q90" i="1"/>
  <c r="O539" i="1"/>
  <c r="P539" i="1"/>
  <c r="Q539" i="1"/>
  <c r="O348" i="1"/>
  <c r="P348" i="1"/>
  <c r="Q348" i="1"/>
  <c r="O380" i="1"/>
  <c r="P380" i="1"/>
  <c r="Q380" i="1"/>
  <c r="O381" i="1"/>
  <c r="P381" i="1"/>
  <c r="Q381" i="1"/>
  <c r="O56" i="1"/>
  <c r="P56" i="1"/>
  <c r="Q56" i="1"/>
  <c r="O717" i="1"/>
  <c r="P717" i="1"/>
  <c r="Q717" i="1"/>
  <c r="O289" i="1"/>
  <c r="P289" i="1"/>
  <c r="Q289" i="1"/>
  <c r="O334" i="1"/>
  <c r="P334" i="1"/>
  <c r="Q334" i="1"/>
  <c r="O771" i="1"/>
  <c r="P771" i="1"/>
  <c r="Q771" i="1"/>
  <c r="O87" i="1"/>
  <c r="P87" i="1"/>
  <c r="Q87" i="1"/>
  <c r="O885" i="1"/>
  <c r="P885" i="1"/>
  <c r="Q885" i="1"/>
  <c r="O587" i="1"/>
  <c r="P587" i="1"/>
  <c r="Q587" i="1"/>
  <c r="O287" i="1"/>
  <c r="P287" i="1"/>
  <c r="Q287" i="1"/>
  <c r="O78" i="1"/>
  <c r="P78" i="1"/>
  <c r="Q78" i="1"/>
  <c r="O119" i="1"/>
  <c r="P119" i="1"/>
  <c r="Q119" i="1"/>
  <c r="O139" i="1"/>
  <c r="P139" i="1"/>
  <c r="Q139" i="1"/>
  <c r="O523" i="1"/>
  <c r="P523" i="1"/>
  <c r="Q523" i="1"/>
  <c r="O875" i="1"/>
  <c r="P875" i="1"/>
  <c r="Q875" i="1"/>
  <c r="O681" i="1"/>
  <c r="P681" i="1"/>
  <c r="Q681" i="1"/>
  <c r="O58" i="1"/>
  <c r="P58" i="1"/>
  <c r="Q58" i="1"/>
  <c r="O554" i="1"/>
  <c r="P554" i="1"/>
  <c r="Q554" i="1"/>
  <c r="O696" i="1"/>
  <c r="P696" i="1"/>
  <c r="Q696" i="1"/>
  <c r="O739" i="1"/>
  <c r="P739" i="1"/>
  <c r="Q739" i="1"/>
  <c r="O807" i="1"/>
  <c r="P807" i="1"/>
  <c r="Q807" i="1"/>
  <c r="O972" i="1"/>
  <c r="P972" i="1"/>
  <c r="Q972" i="1"/>
  <c r="O947" i="1"/>
  <c r="P947" i="1"/>
  <c r="Q947" i="1"/>
  <c r="O661" i="1"/>
  <c r="P661" i="1"/>
  <c r="Q661" i="1"/>
  <c r="O333" i="1"/>
  <c r="P333" i="1"/>
  <c r="Q333" i="1"/>
  <c r="O148" i="1"/>
  <c r="P148" i="1"/>
  <c r="Q148" i="1"/>
  <c r="O900" i="1"/>
  <c r="P900" i="1"/>
  <c r="Q900" i="1"/>
  <c r="O363" i="1"/>
  <c r="P363" i="1"/>
  <c r="Q363" i="1"/>
  <c r="O425" i="1"/>
  <c r="P425" i="1"/>
  <c r="Q425" i="1"/>
  <c r="O124" i="1"/>
  <c r="P124" i="1"/>
  <c r="Q124" i="1"/>
  <c r="O199" i="1"/>
  <c r="P199" i="1"/>
  <c r="Q199" i="1"/>
  <c r="O743" i="1"/>
  <c r="P743" i="1"/>
  <c r="Q743" i="1"/>
  <c r="O28" i="1"/>
  <c r="P28" i="1"/>
  <c r="Q28" i="1"/>
  <c r="O463" i="1"/>
  <c r="P463" i="1"/>
  <c r="Q463" i="1"/>
  <c r="O306" i="1"/>
  <c r="P306" i="1"/>
  <c r="Q306" i="1"/>
  <c r="O448" i="1"/>
  <c r="P448" i="1"/>
  <c r="Q448" i="1"/>
  <c r="O667" i="1"/>
  <c r="P667" i="1"/>
  <c r="Q667" i="1"/>
  <c r="O806" i="1"/>
  <c r="P806" i="1"/>
  <c r="Q806" i="1"/>
  <c r="O91" i="1"/>
  <c r="P91" i="1"/>
  <c r="Q91" i="1"/>
  <c r="O36" i="1"/>
  <c r="P36" i="1"/>
  <c r="Q36" i="1"/>
  <c r="O994" i="1"/>
  <c r="P994" i="1"/>
  <c r="Q994" i="1"/>
  <c r="O856" i="1"/>
  <c r="P856" i="1"/>
  <c r="Q856" i="1"/>
  <c r="O407" i="1"/>
  <c r="P407" i="1"/>
  <c r="Q407" i="1"/>
  <c r="O704" i="1"/>
  <c r="P704" i="1"/>
  <c r="Q704" i="1"/>
  <c r="O766" i="1"/>
  <c r="P766" i="1"/>
  <c r="Q766" i="1"/>
  <c r="O23" i="1"/>
  <c r="P23" i="1"/>
  <c r="Q23" i="1"/>
  <c r="O284" i="1"/>
  <c r="P284" i="1"/>
  <c r="Q284" i="1"/>
  <c r="O351" i="1"/>
  <c r="P351" i="1"/>
  <c r="Q351" i="1"/>
  <c r="O943" i="1"/>
  <c r="P943" i="1"/>
  <c r="Q943" i="1"/>
  <c r="O222" i="1"/>
  <c r="P222" i="1"/>
  <c r="Q222" i="1"/>
  <c r="O647" i="1"/>
  <c r="P647" i="1"/>
  <c r="Q647" i="1"/>
  <c r="O831" i="1"/>
  <c r="P831" i="1"/>
  <c r="Q831" i="1"/>
  <c r="O362" i="1"/>
  <c r="P362" i="1"/>
  <c r="Q362" i="1"/>
  <c r="O815" i="1"/>
  <c r="P815" i="1"/>
  <c r="Q815" i="1"/>
  <c r="O352" i="1"/>
  <c r="P352" i="1"/>
  <c r="Q352" i="1"/>
  <c r="O70" i="1"/>
  <c r="P70" i="1"/>
  <c r="Q70" i="1"/>
  <c r="O274" i="1"/>
  <c r="P274" i="1"/>
  <c r="Q274" i="1"/>
  <c r="O220" i="1"/>
  <c r="P220" i="1"/>
  <c r="Q220" i="1"/>
  <c r="O172" i="1"/>
  <c r="P172" i="1"/>
  <c r="Q172" i="1"/>
  <c r="O541" i="1"/>
  <c r="P541" i="1"/>
  <c r="Q541" i="1"/>
  <c r="O382" i="1"/>
  <c r="P382" i="1"/>
  <c r="Q382" i="1"/>
  <c r="O144" i="1"/>
  <c r="P144" i="1"/>
  <c r="Q144" i="1"/>
  <c r="O300" i="1"/>
  <c r="P300" i="1"/>
  <c r="Q300" i="1"/>
  <c r="O406" i="1"/>
  <c r="P406" i="1"/>
  <c r="Q406" i="1"/>
  <c r="O241" i="1"/>
  <c r="P241" i="1"/>
  <c r="Q241" i="1"/>
  <c r="O378" i="1"/>
  <c r="P378" i="1"/>
  <c r="Q378" i="1"/>
  <c r="O786" i="1"/>
  <c r="P786" i="1"/>
  <c r="Q786" i="1"/>
  <c r="O331" i="1"/>
  <c r="P331" i="1"/>
  <c r="Q331" i="1"/>
  <c r="O372" i="1"/>
  <c r="P372" i="1"/>
  <c r="Q372" i="1"/>
  <c r="O638" i="1"/>
  <c r="P638" i="1"/>
  <c r="Q638" i="1"/>
  <c r="O654" i="1"/>
  <c r="P654" i="1"/>
  <c r="Q654" i="1"/>
  <c r="O115" i="1"/>
  <c r="P115" i="1"/>
  <c r="Q115" i="1"/>
  <c r="O604" i="1"/>
  <c r="P604" i="1"/>
  <c r="Q604" i="1"/>
  <c r="O283" i="1"/>
  <c r="P283" i="1"/>
  <c r="Q283" i="1"/>
  <c r="O321" i="1"/>
  <c r="P321" i="1"/>
  <c r="Q321" i="1"/>
  <c r="O130" i="1"/>
  <c r="P130" i="1"/>
  <c r="Q130" i="1"/>
  <c r="O675" i="1"/>
  <c r="P675" i="1"/>
  <c r="Q675" i="1"/>
  <c r="O607" i="1"/>
  <c r="P607" i="1"/>
  <c r="Q607" i="1"/>
  <c r="O385" i="1"/>
  <c r="P385" i="1"/>
  <c r="Q385" i="1"/>
  <c r="O895" i="1"/>
  <c r="P895" i="1"/>
  <c r="Q895" i="1"/>
  <c r="O2" i="1"/>
  <c r="P2" i="1"/>
  <c r="Q2" i="1"/>
  <c r="O585" i="1"/>
  <c r="P585" i="1"/>
  <c r="Q585" i="1"/>
  <c r="O680" i="1"/>
  <c r="P680" i="1"/>
  <c r="Q680" i="1"/>
  <c r="O610" i="1"/>
  <c r="P610" i="1"/>
  <c r="Q610" i="1"/>
  <c r="O522" i="1"/>
  <c r="P522" i="1"/>
  <c r="Q522" i="1"/>
  <c r="O540" i="1"/>
  <c r="P540" i="1"/>
  <c r="Q540" i="1"/>
  <c r="O255" i="1"/>
  <c r="P255" i="1"/>
  <c r="Q255" i="1"/>
  <c r="O890" i="1"/>
  <c r="P890" i="1"/>
  <c r="Q890" i="1"/>
  <c r="O812" i="1"/>
  <c r="P812" i="1"/>
  <c r="Q812" i="1"/>
  <c r="O802" i="1"/>
  <c r="P802" i="1"/>
  <c r="Q802" i="1"/>
  <c r="O685" i="1"/>
  <c r="P685" i="1"/>
  <c r="Q685" i="1"/>
  <c r="O462" i="1"/>
  <c r="P462" i="1"/>
  <c r="Q462" i="1"/>
  <c r="O29" i="1"/>
  <c r="P29" i="1"/>
  <c r="Q29" i="1"/>
  <c r="O800" i="1"/>
  <c r="P800" i="1"/>
  <c r="Q800" i="1"/>
  <c r="O10" i="1"/>
  <c r="P10" i="1"/>
  <c r="Q10" i="1"/>
  <c r="O715" i="1"/>
  <c r="P715" i="1"/>
  <c r="Q715" i="1"/>
  <c r="O921" i="1"/>
  <c r="P921" i="1"/>
  <c r="Q921" i="1"/>
  <c r="O427" i="1"/>
  <c r="P427" i="1"/>
  <c r="Q427" i="1"/>
  <c r="O433" i="1"/>
  <c r="P433" i="1"/>
  <c r="Q433" i="1"/>
  <c r="O530" i="1"/>
  <c r="P530" i="1"/>
  <c r="Q530" i="1"/>
  <c r="O249" i="1"/>
  <c r="P249" i="1"/>
  <c r="Q249" i="1"/>
  <c r="O346" i="1"/>
  <c r="P346" i="1"/>
  <c r="Q346" i="1"/>
  <c r="O426" i="1"/>
  <c r="P426" i="1"/>
  <c r="Q426" i="1"/>
  <c r="O923" i="1"/>
  <c r="P923" i="1"/>
  <c r="Q923" i="1"/>
  <c r="O730" i="1"/>
  <c r="P730" i="1"/>
  <c r="Q730" i="1"/>
  <c r="O419" i="1"/>
  <c r="P419" i="1"/>
  <c r="Q419" i="1"/>
  <c r="O457" i="1"/>
  <c r="P457" i="1"/>
  <c r="Q457" i="1"/>
  <c r="O185" i="1"/>
  <c r="P185" i="1"/>
  <c r="Q185" i="1"/>
  <c r="O24" i="1"/>
  <c r="P24" i="1"/>
  <c r="Q24" i="1"/>
  <c r="O978" i="1"/>
  <c r="P978" i="1"/>
  <c r="Q978" i="1"/>
  <c r="O200" i="1"/>
  <c r="P200" i="1"/>
  <c r="Q200" i="1"/>
  <c r="O473" i="1"/>
  <c r="P473" i="1"/>
  <c r="Q473" i="1"/>
  <c r="O328" i="1"/>
  <c r="P328" i="1"/>
  <c r="Q328" i="1"/>
  <c r="O991" i="1"/>
  <c r="P991" i="1"/>
  <c r="Q991" i="1"/>
  <c r="O500" i="1"/>
  <c r="P500" i="1"/>
  <c r="Q500" i="1"/>
  <c r="O572" i="1"/>
  <c r="P572" i="1"/>
  <c r="Q572" i="1"/>
  <c r="O459" i="1"/>
  <c r="P459" i="1"/>
  <c r="Q459" i="1"/>
  <c r="O421" i="1"/>
  <c r="P421" i="1"/>
  <c r="Q421" i="1"/>
  <c r="O257" i="1"/>
  <c r="P257" i="1"/>
  <c r="Q257" i="1"/>
  <c r="O243" i="1"/>
  <c r="P243" i="1"/>
  <c r="Q243" i="1"/>
  <c r="O159" i="1"/>
  <c r="P159" i="1"/>
  <c r="Q159" i="1"/>
  <c r="O705" i="1"/>
  <c r="P705" i="1"/>
  <c r="Q705" i="1"/>
  <c r="O315" i="1"/>
  <c r="P315" i="1"/>
  <c r="Q315" i="1"/>
  <c r="O707" i="1"/>
  <c r="P707" i="1"/>
  <c r="Q707" i="1"/>
  <c r="O611" i="1"/>
  <c r="P611" i="1"/>
  <c r="Q611" i="1"/>
  <c r="O392" i="1"/>
  <c r="P392" i="1"/>
  <c r="Q392" i="1"/>
  <c r="O319" i="1"/>
  <c r="P319" i="1"/>
  <c r="Q319" i="1"/>
  <c r="O965" i="1"/>
  <c r="P965" i="1"/>
  <c r="Q965" i="1"/>
  <c r="O456" i="1"/>
  <c r="P456" i="1"/>
  <c r="Q456" i="1"/>
  <c r="O521" i="1"/>
  <c r="P521" i="1"/>
  <c r="Q521" i="1"/>
  <c r="O65" i="1"/>
  <c r="P65" i="1"/>
  <c r="Q65" i="1"/>
  <c r="O50" i="1"/>
  <c r="P50" i="1"/>
  <c r="Q50" i="1"/>
  <c r="O438" i="1"/>
  <c r="P438" i="1"/>
  <c r="Q438" i="1"/>
  <c r="O775" i="1"/>
  <c r="P775" i="1"/>
  <c r="Q775" i="1"/>
  <c r="O343" i="1"/>
  <c r="P343" i="1"/>
  <c r="Q343" i="1"/>
  <c r="O823" i="1"/>
  <c r="P823" i="1"/>
  <c r="Q823" i="1"/>
  <c r="O133" i="1"/>
  <c r="P133" i="1"/>
  <c r="Q133" i="1"/>
  <c r="O267" i="1"/>
  <c r="P267" i="1"/>
  <c r="Q267" i="1"/>
  <c r="O969" i="1"/>
  <c r="P969" i="1"/>
  <c r="Q969" i="1"/>
  <c r="O455" i="1"/>
  <c r="P455" i="1"/>
  <c r="Q455" i="1"/>
  <c r="O175" i="1"/>
  <c r="P175" i="1"/>
  <c r="Q175" i="1"/>
  <c r="O214" i="1"/>
  <c r="P214" i="1"/>
  <c r="Q214" i="1"/>
  <c r="O75" i="1"/>
  <c r="P75" i="1"/>
  <c r="Q75" i="1"/>
  <c r="O970" i="1"/>
  <c r="P970" i="1"/>
  <c r="Q970" i="1"/>
  <c r="O886" i="1"/>
  <c r="P886" i="1"/>
  <c r="Q886" i="1"/>
  <c r="O107" i="1"/>
  <c r="P107" i="1"/>
  <c r="Q107" i="1"/>
  <c r="O402" i="1"/>
  <c r="P402" i="1"/>
  <c r="Q402" i="1"/>
  <c r="O814" i="1"/>
  <c r="P814" i="1"/>
  <c r="Q814" i="1"/>
  <c r="O354" i="1"/>
  <c r="P354" i="1"/>
  <c r="Q354" i="1"/>
  <c r="O759" i="1"/>
  <c r="P759" i="1"/>
  <c r="Q759" i="1"/>
  <c r="O940" i="1"/>
  <c r="P940" i="1"/>
  <c r="Q940" i="1"/>
  <c r="O635" i="1"/>
  <c r="P635" i="1"/>
  <c r="Q635" i="1"/>
  <c r="O475" i="1"/>
  <c r="P475" i="1"/>
  <c r="Q475" i="1"/>
  <c r="O532" i="1"/>
  <c r="P532" i="1"/>
  <c r="Q532" i="1"/>
  <c r="O719" i="1"/>
  <c r="P719" i="1"/>
  <c r="Q719" i="1"/>
  <c r="O364" i="1"/>
  <c r="P364" i="1"/>
  <c r="Q364" i="1"/>
  <c r="O533" i="1"/>
  <c r="P533" i="1"/>
  <c r="Q533" i="1"/>
  <c r="O519" i="1"/>
  <c r="P519" i="1"/>
  <c r="Q519" i="1"/>
  <c r="O470" i="1"/>
  <c r="P470" i="1"/>
  <c r="Q470" i="1"/>
  <c r="O600" i="1"/>
  <c r="P600" i="1"/>
  <c r="Q600" i="1"/>
  <c r="O420" i="1"/>
  <c r="P420" i="1"/>
  <c r="Q420" i="1"/>
  <c r="O642" i="1"/>
  <c r="P642" i="1"/>
  <c r="Q642" i="1"/>
  <c r="O887" i="1"/>
  <c r="P887" i="1"/>
  <c r="Q887" i="1"/>
  <c r="O341" i="1"/>
  <c r="P341" i="1"/>
  <c r="Q341" i="1"/>
  <c r="O980" i="1"/>
  <c r="P980" i="1"/>
  <c r="Q980" i="1"/>
  <c r="O250" i="1"/>
  <c r="P250" i="1"/>
  <c r="Q250" i="1"/>
  <c r="O938" i="1"/>
  <c r="P938" i="1"/>
  <c r="Q938" i="1"/>
  <c r="O504" i="1"/>
  <c r="P504" i="1"/>
  <c r="Q504" i="1"/>
  <c r="O699" i="1"/>
  <c r="P699" i="1"/>
  <c r="Q699" i="1"/>
  <c r="O100" i="1"/>
  <c r="P100" i="1"/>
  <c r="Q100" i="1"/>
  <c r="O914" i="1"/>
  <c r="P914" i="1"/>
  <c r="Q914" i="1"/>
  <c r="O97" i="1"/>
  <c r="P97" i="1"/>
  <c r="Q97" i="1"/>
  <c r="O955" i="1"/>
  <c r="P955" i="1"/>
  <c r="Q955" i="1"/>
  <c r="O964" i="1"/>
  <c r="P964" i="1"/>
  <c r="Q964" i="1"/>
  <c r="O655" i="1"/>
  <c r="P655" i="1"/>
  <c r="Q655" i="1"/>
  <c r="O734" i="1"/>
  <c r="P734" i="1"/>
  <c r="Q734" i="1"/>
  <c r="O977" i="1"/>
  <c r="P977" i="1"/>
  <c r="Q977" i="1"/>
  <c r="O135" i="1"/>
  <c r="P135" i="1"/>
  <c r="Q135" i="1"/>
  <c r="O799" i="1"/>
  <c r="P799" i="1"/>
  <c r="Q799" i="1"/>
  <c r="O672" i="1"/>
  <c r="P672" i="1"/>
  <c r="Q672" i="1"/>
  <c r="O827" i="1"/>
  <c r="P827" i="1"/>
  <c r="Q827" i="1"/>
  <c r="O338" i="1"/>
  <c r="P338" i="1"/>
  <c r="Q338" i="1"/>
  <c r="O67" i="1"/>
  <c r="P67" i="1"/>
  <c r="Q67" i="1"/>
  <c r="O844" i="1"/>
  <c r="P844" i="1"/>
  <c r="Q844" i="1"/>
  <c r="O213" i="1"/>
  <c r="P213" i="1"/>
  <c r="Q213" i="1"/>
  <c r="O709" i="1"/>
  <c r="P709" i="1"/>
  <c r="Q709" i="1"/>
  <c r="O347" i="1"/>
  <c r="P347" i="1"/>
  <c r="Q347" i="1"/>
  <c r="O20" i="1"/>
  <c r="P20" i="1"/>
  <c r="Q20" i="1"/>
  <c r="O640" i="1"/>
  <c r="P640" i="1"/>
  <c r="Q640" i="1"/>
  <c r="O484" i="1"/>
  <c r="P484" i="1"/>
  <c r="Q484" i="1"/>
  <c r="O772" i="1"/>
  <c r="P772" i="1"/>
  <c r="Q772" i="1"/>
  <c r="O155" i="1"/>
  <c r="P155" i="1"/>
  <c r="Q155" i="1"/>
  <c r="O156" i="1"/>
  <c r="P156" i="1"/>
  <c r="Q156" i="1"/>
  <c r="O843" i="1"/>
  <c r="P843" i="1"/>
  <c r="Q843" i="1"/>
  <c r="O778" i="1"/>
  <c r="P778" i="1"/>
  <c r="Q778" i="1"/>
  <c r="O551" i="1"/>
  <c r="P551" i="1"/>
  <c r="Q551" i="1"/>
  <c r="O852" i="1"/>
  <c r="P852" i="1"/>
  <c r="Q852" i="1"/>
  <c r="O194" i="1"/>
  <c r="P194" i="1"/>
  <c r="Q194" i="1"/>
  <c r="O971" i="1"/>
  <c r="P971" i="1"/>
  <c r="Q971" i="1"/>
  <c r="O552" i="1"/>
  <c r="P552" i="1"/>
  <c r="Q552" i="1"/>
  <c r="O201" i="1"/>
  <c r="P201" i="1"/>
  <c r="Q201" i="1"/>
  <c r="O54" i="1"/>
  <c r="P54" i="1"/>
  <c r="Q54" i="1"/>
  <c r="O477" i="1"/>
  <c r="P477" i="1"/>
  <c r="Q477" i="1"/>
  <c r="O452" i="1"/>
  <c r="P452" i="1"/>
  <c r="Q452" i="1"/>
  <c r="O737" i="1"/>
  <c r="P737" i="1"/>
  <c r="Q737" i="1"/>
  <c r="O896" i="1"/>
  <c r="P896" i="1"/>
  <c r="Q896" i="1"/>
  <c r="O173" i="1"/>
  <c r="P173" i="1"/>
  <c r="Q173" i="1"/>
  <c r="O31" i="1"/>
  <c r="P31" i="1"/>
  <c r="Q31" i="1"/>
  <c r="O126" i="1"/>
  <c r="P126" i="1"/>
  <c r="Q126" i="1"/>
  <c r="O664" i="1"/>
  <c r="P664" i="1"/>
  <c r="Q664" i="1"/>
  <c r="O859" i="1"/>
  <c r="P859" i="1"/>
  <c r="Q859" i="1"/>
  <c r="O25" i="1"/>
  <c r="P25" i="1"/>
  <c r="Q25" i="1"/>
  <c r="O564" i="1"/>
  <c r="P564" i="1"/>
  <c r="Q564" i="1"/>
  <c r="O43" i="1"/>
  <c r="P43" i="1"/>
  <c r="Q43" i="1"/>
  <c r="O161" i="1"/>
  <c r="P161" i="1"/>
  <c r="Q161" i="1"/>
  <c r="O835" i="1"/>
  <c r="P835" i="1"/>
  <c r="Q835" i="1"/>
  <c r="O210" i="1"/>
  <c r="P210" i="1"/>
  <c r="Q210" i="1"/>
  <c r="O952" i="1"/>
  <c r="P952" i="1"/>
  <c r="Q952" i="1"/>
  <c r="O506" i="1"/>
  <c r="P506" i="1"/>
  <c r="Q506" i="1"/>
  <c r="O269" i="1"/>
  <c r="P269" i="1"/>
  <c r="Q269" i="1"/>
  <c r="O401" i="1"/>
  <c r="P401" i="1"/>
  <c r="Q401" i="1"/>
  <c r="O81" i="1"/>
  <c r="P81" i="1"/>
  <c r="Q81" i="1"/>
  <c r="O483" i="1"/>
  <c r="P483" i="1"/>
  <c r="Q483" i="1"/>
  <c r="O910" i="1"/>
  <c r="P910" i="1"/>
  <c r="Q910" i="1"/>
  <c r="O294" i="1"/>
  <c r="P294" i="1"/>
  <c r="Q294" i="1"/>
  <c r="O101" i="1"/>
  <c r="P101" i="1"/>
  <c r="Q101" i="1"/>
  <c r="O513" i="1"/>
  <c r="P513" i="1"/>
  <c r="Q513" i="1"/>
  <c r="O985" i="1"/>
  <c r="P985" i="1"/>
  <c r="Q985" i="1"/>
  <c r="O417" i="1"/>
  <c r="P417" i="1"/>
  <c r="Q417" i="1"/>
  <c r="O311" i="1"/>
  <c r="P311" i="1"/>
  <c r="Q311" i="1"/>
  <c r="O857" i="1"/>
  <c r="P857" i="1"/>
  <c r="Q857" i="1"/>
  <c r="O396" i="1"/>
  <c r="P396" i="1"/>
  <c r="Q396" i="1"/>
  <c r="O490" i="1"/>
  <c r="P490" i="1"/>
  <c r="Q490" i="1"/>
  <c r="O116" i="1"/>
  <c r="P116" i="1"/>
  <c r="Q116" i="1"/>
  <c r="O357" i="1"/>
  <c r="P357" i="1"/>
  <c r="Q357" i="1"/>
  <c r="O8" i="1"/>
  <c r="P8" i="1"/>
  <c r="Q8" i="1"/>
  <c r="O797" i="1"/>
  <c r="P797" i="1"/>
  <c r="Q797" i="1"/>
  <c r="O394" i="1"/>
  <c r="P394" i="1"/>
  <c r="Q394" i="1"/>
  <c r="O767" i="1"/>
  <c r="P767" i="1"/>
  <c r="Q767" i="1"/>
  <c r="O279" i="1"/>
  <c r="P279" i="1"/>
  <c r="Q279" i="1"/>
  <c r="O95" i="1"/>
  <c r="P95" i="1"/>
  <c r="Q95" i="1"/>
  <c r="O613" i="1"/>
  <c r="P613" i="1"/>
  <c r="Q613" i="1"/>
  <c r="O143" i="1"/>
  <c r="P143" i="1"/>
  <c r="Q143" i="1"/>
  <c r="O258" i="1"/>
  <c r="P258" i="1"/>
  <c r="Q258" i="1"/>
  <c r="O323" i="1"/>
  <c r="P323" i="1"/>
  <c r="Q323" i="1"/>
  <c r="O349" i="1"/>
  <c r="P349" i="1"/>
  <c r="Q349" i="1"/>
  <c r="O390" i="1"/>
  <c r="P390" i="1"/>
  <c r="Q390" i="1"/>
  <c r="O174" i="1"/>
  <c r="P174" i="1"/>
  <c r="Q174" i="1"/>
  <c r="O617" i="1"/>
  <c r="P617" i="1"/>
  <c r="Q617" i="1"/>
  <c r="O538" i="1"/>
  <c r="P538" i="1"/>
  <c r="Q538" i="1"/>
  <c r="O660" i="1"/>
  <c r="P660" i="1"/>
  <c r="Q660" i="1"/>
  <c r="O880" i="1"/>
  <c r="P880" i="1"/>
  <c r="Q880" i="1"/>
  <c r="O595" i="1"/>
  <c r="P595" i="1"/>
  <c r="Q595" i="1"/>
  <c r="O371" i="1"/>
  <c r="P371" i="1"/>
  <c r="Q371" i="1"/>
  <c r="O663" i="1"/>
  <c r="P663" i="1"/>
  <c r="Q663" i="1"/>
  <c r="O350" i="1"/>
  <c r="P350" i="1"/>
  <c r="Q350" i="1"/>
  <c r="O204" i="1"/>
  <c r="P204" i="1"/>
  <c r="Q204" i="1"/>
  <c r="O146" i="1"/>
  <c r="P146" i="1"/>
  <c r="Q146" i="1"/>
  <c r="O66" i="1"/>
  <c r="P66" i="1"/>
  <c r="Q66" i="1"/>
  <c r="O466" i="1"/>
  <c r="P466" i="1"/>
  <c r="Q466" i="1"/>
  <c r="O518" i="1"/>
  <c r="P518" i="1"/>
  <c r="Q518" i="1"/>
  <c r="O967" i="1"/>
  <c r="P967" i="1"/>
  <c r="Q967" i="1"/>
  <c r="O305" i="1"/>
  <c r="P305" i="1"/>
  <c r="Q305" i="1"/>
  <c r="O535" i="1"/>
  <c r="P535" i="1"/>
  <c r="Q535" i="1"/>
  <c r="O758" i="1"/>
  <c r="P758" i="1"/>
  <c r="Q758" i="1"/>
  <c r="O317" i="1"/>
  <c r="P317" i="1"/>
  <c r="Q317" i="1"/>
  <c r="O724" i="1"/>
  <c r="P724" i="1"/>
  <c r="Q724" i="1"/>
  <c r="O499" i="1"/>
  <c r="P499" i="1"/>
  <c r="Q499" i="1"/>
  <c r="O639" i="1"/>
  <c r="P639" i="1"/>
  <c r="Q639" i="1"/>
  <c r="O515" i="1"/>
  <c r="P515" i="1"/>
  <c r="Q515" i="1"/>
  <c r="O593" i="1"/>
  <c r="P593" i="1"/>
  <c r="Q593" i="1"/>
  <c r="O167" i="1"/>
  <c r="P167" i="1"/>
  <c r="Q167" i="1"/>
  <c r="O15" i="1"/>
  <c r="P15" i="1"/>
  <c r="Q15" i="1"/>
  <c r="O606" i="1"/>
  <c r="P606" i="1"/>
  <c r="Q606" i="1"/>
  <c r="O225" i="1"/>
  <c r="P225" i="1"/>
  <c r="Q225" i="1"/>
  <c r="O987" i="1"/>
  <c r="P987" i="1"/>
  <c r="Q987" i="1"/>
  <c r="O286" i="1"/>
  <c r="P286" i="1"/>
  <c r="Q286" i="1"/>
  <c r="O754" i="1"/>
  <c r="P754" i="1"/>
  <c r="Q754" i="1"/>
  <c r="O882" i="1"/>
  <c r="P882" i="1"/>
  <c r="Q882" i="1"/>
  <c r="O669" i="1"/>
  <c r="P669" i="1"/>
  <c r="Q669" i="1"/>
  <c r="O437" i="1"/>
  <c r="P437" i="1"/>
  <c r="Q437" i="1"/>
  <c r="O314" i="1"/>
  <c r="P314" i="1"/>
  <c r="Q314" i="1"/>
  <c r="O224" i="1"/>
  <c r="P224" i="1"/>
  <c r="Q224" i="1"/>
  <c r="O670" i="1"/>
  <c r="P670" i="1"/>
  <c r="Q670" i="1"/>
  <c r="O35" i="1"/>
  <c r="P35" i="1"/>
  <c r="Q35" i="1"/>
  <c r="O330" i="1"/>
  <c r="P330" i="1"/>
  <c r="Q330" i="1"/>
  <c r="O103" i="1"/>
  <c r="P103" i="1"/>
  <c r="Q103" i="1"/>
  <c r="O4" i="1"/>
  <c r="P4" i="1"/>
  <c r="Q4" i="1"/>
  <c r="O309" i="1"/>
  <c r="P309" i="1"/>
  <c r="Q309" i="1"/>
  <c r="O375" i="1"/>
  <c r="P375" i="1"/>
  <c r="Q375" i="1"/>
  <c r="O981" i="1"/>
  <c r="P981" i="1"/>
  <c r="Q981" i="1"/>
  <c r="O874" i="1"/>
  <c r="P874" i="1"/>
  <c r="Q874" i="1"/>
  <c r="O577" i="1"/>
  <c r="P577" i="1"/>
  <c r="Q577" i="1"/>
  <c r="O701" i="1"/>
  <c r="P701" i="1"/>
  <c r="Q701" i="1"/>
  <c r="O439" i="1"/>
  <c r="P439" i="1"/>
  <c r="Q439" i="1"/>
  <c r="O30" i="1"/>
  <c r="P30" i="1"/>
  <c r="Q30" i="1"/>
  <c r="O666" i="1"/>
  <c r="P666" i="1"/>
  <c r="Q666" i="1"/>
  <c r="O561" i="1"/>
  <c r="P561" i="1"/>
  <c r="Q561" i="1"/>
  <c r="O79" i="1"/>
  <c r="P79" i="1"/>
  <c r="Q79" i="1"/>
  <c r="O190" i="1"/>
  <c r="P190" i="1"/>
  <c r="Q190" i="1"/>
  <c r="O485" i="1"/>
  <c r="P485" i="1"/>
  <c r="Q485" i="1"/>
  <c r="O335" i="1"/>
  <c r="P335" i="1"/>
  <c r="Q335" i="1"/>
  <c r="O227" i="1"/>
  <c r="P227" i="1"/>
  <c r="Q227" i="1"/>
  <c r="O273" i="1"/>
  <c r="P273" i="1"/>
  <c r="Q273" i="1"/>
  <c r="O507" i="1"/>
  <c r="P507" i="1"/>
  <c r="Q507" i="1"/>
  <c r="O408" i="1"/>
  <c r="P408" i="1"/>
  <c r="Q408" i="1"/>
  <c r="O240" i="1"/>
  <c r="P240" i="1"/>
  <c r="Q240" i="1"/>
  <c r="O527" i="1"/>
  <c r="P527" i="1"/>
  <c r="Q527" i="1"/>
  <c r="O501" i="1"/>
  <c r="P501" i="1"/>
  <c r="Q501" i="1"/>
  <c r="O19" i="1"/>
  <c r="P19" i="1"/>
  <c r="Q19" i="1"/>
  <c r="O369" i="1"/>
  <c r="P369" i="1"/>
  <c r="Q369" i="1"/>
  <c r="O615" i="1"/>
  <c r="P615" i="1"/>
  <c r="Q615" i="1"/>
  <c r="O558" i="1"/>
  <c r="P558" i="1"/>
  <c r="Q558" i="1"/>
  <c r="O645" i="1"/>
  <c r="P645" i="1"/>
  <c r="Q645" i="1"/>
  <c r="O687" i="1"/>
  <c r="P687" i="1"/>
  <c r="Q687" i="1"/>
  <c r="O833" i="1"/>
  <c r="P833" i="1"/>
  <c r="Q833" i="1"/>
  <c r="O745" i="1"/>
  <c r="P745" i="1"/>
  <c r="Q745" i="1"/>
  <c r="O542" i="1"/>
  <c r="P542" i="1"/>
  <c r="Q542" i="1"/>
  <c r="O834" i="1"/>
  <c r="P834" i="1"/>
  <c r="Q834" i="1"/>
  <c r="O263" i="1"/>
  <c r="P263" i="1"/>
  <c r="Q263" i="1"/>
  <c r="O32" i="1"/>
  <c r="P32" i="1"/>
  <c r="Q32" i="1"/>
  <c r="O756" i="1"/>
  <c r="P756" i="1"/>
  <c r="Q756" i="1"/>
  <c r="O749" i="1"/>
  <c r="P749" i="1"/>
  <c r="Q749" i="1"/>
  <c r="O712" i="1"/>
  <c r="P712" i="1"/>
  <c r="Q712" i="1"/>
  <c r="O324" i="1"/>
  <c r="P324" i="1"/>
  <c r="Q324" i="1"/>
  <c r="O603" i="1"/>
  <c r="P603" i="1"/>
  <c r="Q603" i="1"/>
  <c r="O181" i="1"/>
  <c r="P181" i="1"/>
  <c r="Q181" i="1"/>
  <c r="O278" i="1"/>
  <c r="P278" i="1"/>
  <c r="Q278" i="1"/>
  <c r="O163" i="1"/>
  <c r="P163" i="1"/>
  <c r="Q163" i="1"/>
  <c r="O592" i="1"/>
  <c r="P592" i="1"/>
  <c r="Q592" i="1"/>
  <c r="O865" i="1"/>
  <c r="P865" i="1"/>
  <c r="Q865" i="1"/>
  <c r="O742" i="1"/>
  <c r="P742" i="1"/>
  <c r="Q742" i="1"/>
  <c r="O574" i="1"/>
  <c r="P574" i="1"/>
  <c r="Q574" i="1"/>
  <c r="O691" i="1"/>
  <c r="P691" i="1"/>
  <c r="Q691" i="1"/>
  <c r="O493" i="1"/>
  <c r="P493" i="1"/>
  <c r="Q493" i="1"/>
  <c r="O761" i="1"/>
  <c r="P761" i="1"/>
  <c r="Q761" i="1"/>
  <c r="O566" i="1"/>
  <c r="P566" i="1"/>
  <c r="Q566" i="1"/>
  <c r="O983" i="1"/>
  <c r="P983" i="1"/>
  <c r="Q983" i="1"/>
  <c r="O7" i="1"/>
  <c r="P7" i="1"/>
  <c r="Q7" i="1"/>
  <c r="O268" i="1"/>
  <c r="P268" i="1"/>
  <c r="Q268" i="1"/>
  <c r="O828" i="1"/>
  <c r="P828" i="1"/>
  <c r="Q828" i="1"/>
  <c r="O608" i="1"/>
  <c r="P608" i="1"/>
  <c r="Q608" i="1"/>
  <c r="O945" i="1"/>
  <c r="P945" i="1"/>
  <c r="Q945" i="1"/>
  <c r="O935" i="1"/>
  <c r="P935" i="1"/>
  <c r="Q935" i="1"/>
  <c r="O229" i="1"/>
  <c r="P229" i="1"/>
  <c r="Q229" i="1"/>
  <c r="O580" i="1"/>
  <c r="P580" i="1"/>
  <c r="Q580" i="1"/>
  <c r="O22" i="1"/>
  <c r="P22" i="1"/>
  <c r="Q22" i="1"/>
  <c r="O825" i="1"/>
  <c r="P825" i="1"/>
  <c r="Q825" i="1"/>
  <c r="O114" i="1"/>
  <c r="P114" i="1"/>
  <c r="Q114" i="1"/>
  <c r="O310" i="1"/>
  <c r="P310" i="1"/>
  <c r="Q310" i="1"/>
  <c r="O863" i="1"/>
  <c r="P863" i="1"/>
  <c r="Q863" i="1"/>
  <c r="O984" i="1"/>
  <c r="P984" i="1"/>
  <c r="Q984" i="1"/>
  <c r="O202" i="1"/>
  <c r="P202" i="1"/>
  <c r="Q202" i="1"/>
  <c r="O589" i="1"/>
  <c r="P589" i="1"/>
  <c r="Q589" i="1"/>
  <c r="O340" i="1"/>
  <c r="P340" i="1"/>
  <c r="Q340" i="1"/>
  <c r="O326" i="1"/>
  <c r="P326" i="1"/>
  <c r="Q326" i="1"/>
  <c r="O386" i="1"/>
  <c r="P386" i="1"/>
  <c r="Q386" i="1"/>
  <c r="O514" i="1"/>
  <c r="P514" i="1"/>
  <c r="Q514" i="1"/>
  <c r="O757" i="1"/>
  <c r="P757" i="1"/>
  <c r="Q757" i="1"/>
  <c r="O939" i="1"/>
  <c r="P939" i="1"/>
  <c r="Q939" i="1"/>
  <c r="O643" i="1"/>
  <c r="P643" i="1"/>
  <c r="Q643" i="1"/>
  <c r="O329" i="1"/>
  <c r="P329" i="1"/>
  <c r="Q329" i="1"/>
  <c r="O841" i="1"/>
  <c r="P841" i="1"/>
  <c r="Q841" i="1"/>
  <c r="O918" i="1"/>
  <c r="P918" i="1"/>
  <c r="Q918" i="1"/>
  <c r="O445" i="1"/>
  <c r="P445" i="1"/>
  <c r="Q445" i="1"/>
  <c r="O308" i="1"/>
  <c r="P308" i="1"/>
  <c r="Q308" i="1"/>
  <c r="O902" i="1"/>
  <c r="P902" i="1"/>
  <c r="Q902" i="1"/>
  <c r="O195" i="1"/>
  <c r="P195" i="1"/>
  <c r="Q195" i="1"/>
  <c r="O123" i="1"/>
  <c r="P123" i="1"/>
  <c r="Q123" i="1"/>
  <c r="O41" i="1"/>
  <c r="P41" i="1"/>
  <c r="Q41" i="1"/>
  <c r="O936" i="1"/>
  <c r="P936" i="1"/>
  <c r="Q936" i="1"/>
  <c r="O801" i="1"/>
  <c r="P801" i="1"/>
  <c r="Q801" i="1"/>
  <c r="O804" i="1"/>
  <c r="P804" i="1"/>
  <c r="Q804" i="1"/>
  <c r="O212" i="1"/>
  <c r="P212" i="1"/>
  <c r="Q212" i="1"/>
  <c r="O562" i="1"/>
  <c r="P562" i="1"/>
  <c r="Q562" i="1"/>
  <c r="O884" i="1"/>
  <c r="P884" i="1"/>
  <c r="Q884" i="1"/>
  <c r="O648" i="1"/>
  <c r="P648" i="1"/>
  <c r="Q648" i="1"/>
  <c r="O837" i="1"/>
  <c r="P837" i="1"/>
  <c r="Q837" i="1"/>
  <c r="O223" i="1"/>
  <c r="P223" i="1"/>
  <c r="Q223" i="1"/>
  <c r="O424" i="1"/>
  <c r="P424" i="1"/>
  <c r="Q424" i="1"/>
  <c r="O154" i="1"/>
  <c r="P154" i="1"/>
  <c r="Q154" i="1"/>
  <c r="O166" i="1"/>
  <c r="P166" i="1"/>
  <c r="Q166" i="1"/>
  <c r="O140" i="1"/>
  <c r="P140" i="1"/>
  <c r="Q140" i="1"/>
  <c r="O695" i="1"/>
  <c r="P695" i="1"/>
  <c r="Q695" i="1"/>
  <c r="O281" i="1"/>
  <c r="P281" i="1"/>
  <c r="Q281" i="1"/>
  <c r="O467" i="1"/>
  <c r="P467" i="1"/>
  <c r="Q467" i="1"/>
  <c r="O373" i="1"/>
  <c r="P373" i="1"/>
  <c r="Q373" i="1"/>
  <c r="O379" i="1"/>
  <c r="P379" i="1"/>
  <c r="Q379" i="1"/>
  <c r="O571" i="1"/>
  <c r="P571" i="1"/>
  <c r="Q571" i="1"/>
  <c r="O179" i="1"/>
  <c r="P179" i="1"/>
  <c r="Q179" i="1"/>
  <c r="O403" i="1"/>
  <c r="P403" i="1"/>
  <c r="Q403" i="1"/>
  <c r="O559" i="1"/>
  <c r="P559" i="1"/>
  <c r="Q559" i="1"/>
  <c r="O205" i="1"/>
  <c r="P205" i="1"/>
  <c r="Q205" i="1"/>
  <c r="O137" i="1"/>
  <c r="P137" i="1"/>
  <c r="Q137" i="1"/>
  <c r="O926" i="1"/>
  <c r="P926" i="1"/>
  <c r="Q926" i="1"/>
  <c r="O147" i="1"/>
  <c r="P147" i="1"/>
  <c r="Q147" i="1"/>
  <c r="O867" i="1"/>
  <c r="P867" i="1"/>
  <c r="Q867" i="1"/>
  <c r="O729" i="1"/>
  <c r="P729" i="1"/>
  <c r="Q729" i="1"/>
  <c r="O129" i="1"/>
  <c r="P129" i="1"/>
  <c r="Q129" i="1"/>
  <c r="O721" i="1"/>
  <c r="P721" i="1"/>
  <c r="Q721" i="1"/>
  <c r="O624" i="1"/>
  <c r="P624" i="1"/>
  <c r="Q624" i="1"/>
  <c r="O84" i="1"/>
  <c r="P84" i="1"/>
  <c r="Q84" i="1"/>
  <c r="O889" i="1"/>
  <c r="P889" i="1"/>
  <c r="Q889" i="1"/>
  <c r="O788" i="1"/>
  <c r="P788" i="1"/>
  <c r="Q788" i="1"/>
  <c r="O671" i="1"/>
  <c r="P671" i="1"/>
  <c r="Q671" i="1"/>
  <c r="O769" i="1"/>
  <c r="P769" i="1"/>
  <c r="Q769" i="1"/>
  <c r="O235" i="1"/>
  <c r="P235" i="1"/>
  <c r="Q235" i="1"/>
  <c r="O899" i="1"/>
  <c r="P899" i="1"/>
  <c r="Q899" i="1"/>
  <c r="O789" i="1"/>
  <c r="P789" i="1"/>
  <c r="Q789" i="1"/>
  <c r="O998" i="1"/>
  <c r="P998" i="1"/>
  <c r="Q998" i="1"/>
  <c r="O432" i="1"/>
  <c r="P432" i="1"/>
  <c r="Q432" i="1"/>
  <c r="O374" i="1"/>
  <c r="P374" i="1"/>
  <c r="Q374" i="1"/>
  <c r="O37" i="1"/>
  <c r="P37" i="1"/>
  <c r="Q37" i="1"/>
  <c r="O170" i="1"/>
  <c r="P170" i="1"/>
  <c r="Q170" i="1"/>
  <c r="O339" i="1"/>
  <c r="P339" i="1"/>
  <c r="Q339" i="1"/>
  <c r="O581" i="1"/>
  <c r="P581" i="1"/>
  <c r="Q581" i="1"/>
  <c r="O961" i="1"/>
  <c r="P961" i="1"/>
  <c r="Q961" i="1"/>
  <c r="O686" i="1"/>
  <c r="P686" i="1"/>
  <c r="Q686" i="1"/>
  <c r="O583" i="1"/>
  <c r="P583" i="1"/>
  <c r="Q583" i="1"/>
  <c r="O11" i="1"/>
  <c r="P11" i="1"/>
  <c r="Q11" i="1"/>
  <c r="O590" i="1"/>
  <c r="P590" i="1"/>
  <c r="Q590" i="1"/>
  <c r="O17" i="1"/>
  <c r="P17" i="1"/>
  <c r="Q17" i="1"/>
  <c r="O365" i="1"/>
  <c r="P365" i="1"/>
  <c r="Q365" i="1"/>
  <c r="O904" i="1"/>
  <c r="P904" i="1"/>
  <c r="Q904" i="1"/>
  <c r="O39" i="1"/>
  <c r="P39" i="1"/>
  <c r="Q39" i="1"/>
  <c r="O684" i="1"/>
  <c r="P684" i="1"/>
  <c r="Q684" i="1"/>
  <c r="O623" i="1"/>
  <c r="P623" i="1"/>
  <c r="Q623" i="1"/>
  <c r="O128" i="1"/>
  <c r="P128" i="1"/>
  <c r="Q128" i="1"/>
  <c r="O182" i="1"/>
  <c r="P182" i="1"/>
  <c r="Q182" i="1"/>
  <c r="O82" i="1"/>
  <c r="P82" i="1"/>
  <c r="Q82" i="1"/>
  <c r="O736" i="1"/>
  <c r="P736" i="1"/>
  <c r="Q736" i="1"/>
  <c r="O111" i="1"/>
  <c r="S11" i="1" l="1"/>
  <c r="S10" i="1"/>
  <c r="S13" i="1"/>
  <c r="S12" i="1"/>
  <c r="Q111" i="1"/>
  <c r="S18" i="1" s="1"/>
  <c r="P111" i="1"/>
  <c r="S1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<sst xmlns="http://schemas.openxmlformats.org/spreadsheetml/2006/main" count="3075" uniqueCount="1060">
  <si>
    <t>Sum of Total Sales</t>
  </si>
  <si>
    <t>Generation</t>
  </si>
  <si>
    <t>Product Category</t>
  </si>
  <si>
    <t>Adult</t>
  </si>
  <si>
    <t>Senior</t>
  </si>
  <si>
    <t>Young Adult</t>
  </si>
  <si>
    <t>Grand Total</t>
  </si>
  <si>
    <t>Beauty</t>
  </si>
  <si>
    <t>Clothing</t>
  </si>
  <si>
    <t>Electronics</t>
  </si>
  <si>
    <t>Transaction ID</t>
  </si>
  <si>
    <t>Day</t>
  </si>
  <si>
    <t>Month</t>
  </si>
  <si>
    <t>Year</t>
  </si>
  <si>
    <t>Date</t>
  </si>
  <si>
    <t>Customer ID</t>
  </si>
  <si>
    <t>Gender</t>
  </si>
  <si>
    <t>Age</t>
  </si>
  <si>
    <t>Quantity</t>
  </si>
  <si>
    <t>Price per Unit</t>
  </si>
  <si>
    <t>Total Sales</t>
  </si>
  <si>
    <t>Commission 2023</t>
  </si>
  <si>
    <t>Commission 2024</t>
  </si>
  <si>
    <t>CUST650</t>
  </si>
  <si>
    <t>Male</t>
  </si>
  <si>
    <t>Rate %</t>
  </si>
  <si>
    <t>CUST211</t>
  </si>
  <si>
    <t>CUST857</t>
  </si>
  <si>
    <t>CUST233</t>
  </si>
  <si>
    <t>Female</t>
  </si>
  <si>
    <t>CUST520</t>
  </si>
  <si>
    <t>CUST908</t>
  </si>
  <si>
    <t>CUST805</t>
  </si>
  <si>
    <t>Column1</t>
  </si>
  <si>
    <t>Column2</t>
  </si>
  <si>
    <t>Quantity2</t>
  </si>
  <si>
    <t>CUST429</t>
  </si>
  <si>
    <t>Overall Sales</t>
  </si>
  <si>
    <t>CUST664</t>
  </si>
  <si>
    <t>All products</t>
  </si>
  <si>
    <t>CUST989</t>
  </si>
  <si>
    <t>CUST386</t>
  </si>
  <si>
    <t>CUST062</t>
  </si>
  <si>
    <t>CUST025</t>
  </si>
  <si>
    <t>CUST842</t>
  </si>
  <si>
    <t>CUST472</t>
  </si>
  <si>
    <t>CUST991</t>
  </si>
  <si>
    <t>Total Comm 2023</t>
  </si>
  <si>
    <t>CUST082</t>
  </si>
  <si>
    <t>Total Comm 2024</t>
  </si>
  <si>
    <t>CUST879</t>
  </si>
  <si>
    <t>CUST757</t>
  </si>
  <si>
    <t>CUST034</t>
  </si>
  <si>
    <t>CUST916</t>
  </si>
  <si>
    <t>Avg Comm 2023</t>
  </si>
  <si>
    <t>CUST615</t>
  </si>
  <si>
    <t>Avg Comm 2024</t>
  </si>
  <si>
    <t>CUST678</t>
  </si>
  <si>
    <t>CUST781</t>
  </si>
  <si>
    <t>CUST544</t>
  </si>
  <si>
    <t>CUST309</t>
  </si>
  <si>
    <t>CUST602</t>
  </si>
  <si>
    <t>CUST662</t>
  </si>
  <si>
    <t>CUST865</t>
  </si>
  <si>
    <t>CUST777</t>
  </si>
  <si>
    <t>CUST890</t>
  </si>
  <si>
    <t>CUST209</t>
  </si>
  <si>
    <t>CUST435</t>
  </si>
  <si>
    <t>CUST854</t>
  </si>
  <si>
    <t>CUST609</t>
  </si>
  <si>
    <t>CUST982</t>
  </si>
  <si>
    <t>CUST096</t>
  </si>
  <si>
    <t>CUST994</t>
  </si>
  <si>
    <t>CUST525</t>
  </si>
  <si>
    <t>CUST939</t>
  </si>
  <si>
    <t>CUST409</t>
  </si>
  <si>
    <t>CUST783</t>
  </si>
  <si>
    <t>CUST099</t>
  </si>
  <si>
    <t>CUST153</t>
  </si>
  <si>
    <t>CUST083</t>
  </si>
  <si>
    <t>CUST451</t>
  </si>
  <si>
    <t>CUST139</t>
  </si>
  <si>
    <t>CUST151</t>
  </si>
  <si>
    <t>CUST701</t>
  </si>
  <si>
    <t>CUST496</t>
  </si>
  <si>
    <t>CUST009</t>
  </si>
  <si>
    <t>CUST552</t>
  </si>
  <si>
    <t>CUST771</t>
  </si>
  <si>
    <t>CUST336</t>
  </si>
  <si>
    <t>CUST571</t>
  </si>
  <si>
    <t>CUST265</t>
  </si>
  <si>
    <t>CUST586</t>
  </si>
  <si>
    <t>CUST080</t>
  </si>
  <si>
    <t>CUST361</t>
  </si>
  <si>
    <t>CUST526</t>
  </si>
  <si>
    <t>CUST214</t>
  </si>
  <si>
    <t>CUST355</t>
  </si>
  <si>
    <t>CUST468</t>
  </si>
  <si>
    <t>CUST700</t>
  </si>
  <si>
    <t>CUST828</t>
  </si>
  <si>
    <t>CUST752</t>
  </si>
  <si>
    <t>CUST244</t>
  </si>
  <si>
    <t>CUST540</t>
  </si>
  <si>
    <t>CUST625</t>
  </si>
  <si>
    <t>CUST392</t>
  </si>
  <si>
    <t>CUST453</t>
  </si>
  <si>
    <t>CUST550</t>
  </si>
  <si>
    <t>CUST531</t>
  </si>
  <si>
    <t>CUST712</t>
  </si>
  <si>
    <t>CUST395</t>
  </si>
  <si>
    <t>CUST535</t>
  </si>
  <si>
    <t>CUST580</t>
  </si>
  <si>
    <t>CUST868</t>
  </si>
  <si>
    <t>CUST065</t>
  </si>
  <si>
    <t>CUST791</t>
  </si>
  <si>
    <t>CUST999</t>
  </si>
  <si>
    <t>CUST311</t>
  </si>
  <si>
    <t>CUST971</t>
  </si>
  <si>
    <t>CUST199</t>
  </si>
  <si>
    <t>CUST258</t>
  </si>
  <si>
    <t>CUST576</t>
  </si>
  <si>
    <t>CUST485</t>
  </si>
  <si>
    <t>CUST348</t>
  </si>
  <si>
    <t>CUST566</t>
  </si>
  <si>
    <t>CUST608</t>
  </si>
  <si>
    <t>CUST112</t>
  </si>
  <si>
    <t>CUST389</t>
  </si>
  <si>
    <t>CUST266</t>
  </si>
  <si>
    <t>CUST810</t>
  </si>
  <si>
    <t>CUST289</t>
  </si>
  <si>
    <t>CUST741</t>
  </si>
  <si>
    <t>CUST215</t>
  </si>
  <si>
    <t>CUST024</t>
  </si>
  <si>
    <t>CUST739</t>
  </si>
  <si>
    <t>CUST795</t>
  </si>
  <si>
    <t>CUST084</t>
  </si>
  <si>
    <t>CUST856</t>
  </si>
  <si>
    <t>CUST362</t>
  </si>
  <si>
    <t>CUST267</t>
  </si>
  <si>
    <t>CUST115</t>
  </si>
  <si>
    <t>CUST715</t>
  </si>
  <si>
    <t>CUST156</t>
  </si>
  <si>
    <t>CUST493</t>
  </si>
  <si>
    <t>CUST171</t>
  </si>
  <si>
    <t>CUST001</t>
  </si>
  <si>
    <t>CUST095</t>
  </si>
  <si>
    <t>CUST424</t>
  </si>
  <si>
    <t>CUST918</t>
  </si>
  <si>
    <t>CUST641</t>
  </si>
  <si>
    <t>CUST803</t>
  </si>
  <si>
    <t>CUST087</t>
  </si>
  <si>
    <t>CUST074</t>
  </si>
  <si>
    <t>CUST581</t>
  </si>
  <si>
    <t>CUST417</t>
  </si>
  <si>
    <t>CUST410</t>
  </si>
  <si>
    <t>CUST234</t>
  </si>
  <si>
    <t>CUST938</t>
  </si>
  <si>
    <t>CUST599</t>
  </si>
  <si>
    <t>CUST057</t>
  </si>
  <si>
    <t>CUST778</t>
  </si>
  <si>
    <t>CUST137</t>
  </si>
  <si>
    <t>CUST997</t>
  </si>
  <si>
    <t>CUST968</t>
  </si>
  <si>
    <t>CUST645</t>
  </si>
  <si>
    <t>CUST169</t>
  </si>
  <si>
    <t>CUST533</t>
  </si>
  <si>
    <t>CUST706</t>
  </si>
  <si>
    <t>CUST369</t>
  </si>
  <si>
    <t>CUST747</t>
  </si>
  <si>
    <t>CUST345</t>
  </si>
  <si>
    <t>CUST963</t>
  </si>
  <si>
    <t>CUST458</t>
  </si>
  <si>
    <t>CUST582</t>
  </si>
  <si>
    <t>CUST952</t>
  </si>
  <si>
    <t>CUST058</t>
  </si>
  <si>
    <t>CUST554</t>
  </si>
  <si>
    <t>CUST812</t>
  </si>
  <si>
    <t>CUST631</t>
  </si>
  <si>
    <t>CUST388</t>
  </si>
  <si>
    <t>CUST827</t>
  </si>
  <si>
    <t>CUST965</t>
  </si>
  <si>
    <t>CUST595</t>
  </si>
  <si>
    <t>CUST173</t>
  </si>
  <si>
    <t>CUST086</t>
  </si>
  <si>
    <t>CUST512</t>
  </si>
  <si>
    <t>CUST565</t>
  </si>
  <si>
    <t>CUST205</t>
  </si>
  <si>
    <t>CUST950</t>
  </si>
  <si>
    <t>CUST761</t>
  </si>
  <si>
    <t>CUST762</t>
  </si>
  <si>
    <t>CUST047</t>
  </si>
  <si>
    <t>CUST405</t>
  </si>
  <si>
    <t>CUST690</t>
  </si>
  <si>
    <t>CUST020</t>
  </si>
  <si>
    <t>CUST784</t>
  </si>
  <si>
    <t>CUST181</t>
  </si>
  <si>
    <t>CUST898</t>
  </si>
  <si>
    <t>CUST145</t>
  </si>
  <si>
    <t>CUST507</t>
  </si>
  <si>
    <t>CUST951</t>
  </si>
  <si>
    <t>CUST841</t>
  </si>
  <si>
    <t>CUST141</t>
  </si>
  <si>
    <t>CUST334</t>
  </si>
  <si>
    <t>CUST983</t>
  </si>
  <si>
    <t>CUST343</t>
  </si>
  <si>
    <t>CUST628</t>
  </si>
  <si>
    <t>CUST776</t>
  </si>
  <si>
    <t>CUST817</t>
  </si>
  <si>
    <t>CUST710</t>
  </si>
  <si>
    <t>CUST012</t>
  </si>
  <si>
    <t>CUST226</t>
  </si>
  <si>
    <t>CUST229</t>
  </si>
  <si>
    <t>CUST959</t>
  </si>
  <si>
    <t>CUST030</t>
  </si>
  <si>
    <t>CUST896</t>
  </si>
  <si>
    <t>CUST998</t>
  </si>
  <si>
    <t>CUST324</t>
  </si>
  <si>
    <t>CUST124</t>
  </si>
  <si>
    <t>CUST677</t>
  </si>
  <si>
    <t>CUST440</t>
  </si>
  <si>
    <t>CUST349</t>
  </si>
  <si>
    <t>CUST126</t>
  </si>
  <si>
    <t>CUST503</t>
  </si>
  <si>
    <t>CUST869</t>
  </si>
  <si>
    <t>CUST318</t>
  </si>
  <si>
    <t>CUST564</t>
  </si>
  <si>
    <t>CUST342</t>
  </si>
  <si>
    <t>CUST767</t>
  </si>
  <si>
    <t>CUST937</t>
  </si>
  <si>
    <t>CUST250</t>
  </si>
  <si>
    <t>CUST060</t>
  </si>
  <si>
    <t>CUST516</t>
  </si>
  <si>
    <t>CUST600</t>
  </si>
  <si>
    <t>CUST680</t>
  </si>
  <si>
    <t>CUST770</t>
  </si>
  <si>
    <t>CUST922</t>
  </si>
  <si>
    <t>CUST249</t>
  </si>
  <si>
    <t>CUST826</t>
  </si>
  <si>
    <t>CUST962</t>
  </si>
  <si>
    <t>CUST340</t>
  </si>
  <si>
    <t>CUST555</t>
  </si>
  <si>
    <t>CUST191</t>
  </si>
  <si>
    <t>CUST109</t>
  </si>
  <si>
    <t>CUST786</t>
  </si>
  <si>
    <t>CUST350</t>
  </si>
  <si>
    <t>CUST943</t>
  </si>
  <si>
    <t>CUST754</t>
  </si>
  <si>
    <t>CUST711</t>
  </si>
  <si>
    <t>CUST370</t>
  </si>
  <si>
    <t>CUST431</t>
  </si>
  <si>
    <t>CUST121</t>
  </si>
  <si>
    <t>CUST022</t>
  </si>
  <si>
    <t>CUST456</t>
  </si>
  <si>
    <t>CUST627</t>
  </si>
  <si>
    <t>CUST097</t>
  </si>
  <si>
    <t>CUST619</t>
  </si>
  <si>
    <t>CUST948</t>
  </si>
  <si>
    <t>CUST852</t>
  </si>
  <si>
    <t>CUST844</t>
  </si>
  <si>
    <t>CUST310</t>
  </si>
  <si>
    <t>CUST872</t>
  </si>
  <si>
    <t>CUST401</t>
  </si>
  <si>
    <t>CUST914</t>
  </si>
  <si>
    <t>CUST227</t>
  </si>
  <si>
    <t>CUST546</t>
  </si>
  <si>
    <t>CUST149</t>
  </si>
  <si>
    <t>CUST393</t>
  </si>
  <si>
    <t>CUST441</t>
  </si>
  <si>
    <t>CUST976</t>
  </si>
  <si>
    <t>CUST428</t>
  </si>
  <si>
    <t>CUST055</t>
  </si>
  <si>
    <t>CUST201</t>
  </si>
  <si>
    <t>CUST286</t>
  </si>
  <si>
    <t>CUST876</t>
  </si>
  <si>
    <t>CUST634</t>
  </si>
  <si>
    <t>CUST558</t>
  </si>
  <si>
    <t>CUST689</t>
  </si>
  <si>
    <t>CUST010</t>
  </si>
  <si>
    <t>CUST437</t>
  </si>
  <si>
    <t>CUST026</t>
  </si>
  <si>
    <t>CUST385</t>
  </si>
  <si>
    <t>CUST319</t>
  </si>
  <si>
    <t>CUST670</t>
  </si>
  <si>
    <t>CUST735</t>
  </si>
  <si>
    <t>CUST247</t>
  </si>
  <si>
    <t>CUST178</t>
  </si>
  <si>
    <t>CUST208</t>
  </si>
  <si>
    <t>CUST290</t>
  </si>
  <si>
    <t>CUST656</t>
  </si>
  <si>
    <t>CUST122</t>
  </si>
  <si>
    <t>CUST688</t>
  </si>
  <si>
    <t>CUST813</t>
  </si>
  <si>
    <t>CUST524</t>
  </si>
  <si>
    <t>CUST373</t>
  </si>
  <si>
    <t>CUST154</t>
  </si>
  <si>
    <t>CUST497</t>
  </si>
  <si>
    <t>CUST889</t>
  </si>
  <si>
    <t>CUST051</t>
  </si>
  <si>
    <t>CUST276</t>
  </si>
  <si>
    <t>CUST089</t>
  </si>
  <si>
    <t>CUST707</t>
  </si>
  <si>
    <t>CUST909</t>
  </si>
  <si>
    <t>CUST789</t>
  </si>
  <si>
    <t>CUST196</t>
  </si>
  <si>
    <t>CUST327</t>
  </si>
  <si>
    <t>CUST179</t>
  </si>
  <si>
    <t>CUST873</t>
  </si>
  <si>
    <t>CUST626</t>
  </si>
  <si>
    <t>CUST204</t>
  </si>
  <si>
    <t>CUST390</t>
  </si>
  <si>
    <t>CUST147</t>
  </si>
  <si>
    <t>CUST897</t>
  </si>
  <si>
    <t>CUST809</t>
  </si>
  <si>
    <t>CUST351</t>
  </si>
  <si>
    <t>CUST954</t>
  </si>
  <si>
    <t>CUST523</t>
  </si>
  <si>
    <t>CUST643</t>
  </si>
  <si>
    <t>CUST616</t>
  </si>
  <si>
    <t>CUST218</t>
  </si>
  <si>
    <t>CUST846</t>
  </si>
  <si>
    <t>CUST579</t>
  </si>
  <si>
    <t>CUST241</t>
  </si>
  <si>
    <t>CUST573</t>
  </si>
  <si>
    <t>CUST513</t>
  </si>
  <si>
    <t>CUST494</t>
  </si>
  <si>
    <t>CUST330</t>
  </si>
  <si>
    <t>CUST131</t>
  </si>
  <si>
    <t>CUST794</t>
  </si>
  <si>
    <t>CUST167</t>
  </si>
  <si>
    <t>CUST172</t>
  </si>
  <si>
    <t>CUST375</t>
  </si>
  <si>
    <t>CUST538</t>
  </si>
  <si>
    <t>CUST019</t>
  </si>
  <si>
    <t>CUST632</t>
  </si>
  <si>
    <t>CUST412</t>
  </si>
  <si>
    <t>CUST326</t>
  </si>
  <si>
    <t>CUST165</t>
  </si>
  <si>
    <t>CUST113</t>
  </si>
  <si>
    <t>CUST832</t>
  </si>
  <si>
    <t>CUST604</t>
  </si>
  <si>
    <t>CUST132</t>
  </si>
  <si>
    <t>CUST935</t>
  </si>
  <si>
    <t>CUST858</t>
  </si>
  <si>
    <t>CUST919</t>
  </si>
  <si>
    <t>CUST799</t>
  </si>
  <si>
    <t>CUST413</t>
  </si>
  <si>
    <t>CUST183</t>
  </si>
  <si>
    <t>CUST851</t>
  </si>
  <si>
    <t>CUST692</t>
  </si>
  <si>
    <t>CUST312</t>
  </si>
  <si>
    <t>CUST835</t>
  </si>
  <si>
    <t>CUST194</t>
  </si>
  <si>
    <t>CUST696</t>
  </si>
  <si>
    <t>CUST245</t>
  </si>
  <si>
    <t>CUST644</t>
  </si>
  <si>
    <t>CUST296</t>
  </si>
  <si>
    <t>CUST814</t>
  </si>
  <si>
    <t>CUST894</t>
  </si>
  <si>
    <t>CUST297</t>
  </si>
  <si>
    <t>CUST925</t>
  </si>
  <si>
    <t>CUST325</t>
  </si>
  <si>
    <t>CUST682</t>
  </si>
  <si>
    <t>CUST931</t>
  </si>
  <si>
    <t>CUST855</t>
  </si>
  <si>
    <t>CUST637</t>
  </si>
  <si>
    <t>CUST200</t>
  </si>
  <si>
    <t>CUST594</t>
  </si>
  <si>
    <t>CUST574</t>
  </si>
  <si>
    <t>CUST871</t>
  </si>
  <si>
    <t>CUST251</t>
  </si>
  <si>
    <t>CUST253</t>
  </si>
  <si>
    <t>CUST751</t>
  </si>
  <si>
    <t>CUST984</t>
  </si>
  <si>
    <t>CUST924</t>
  </si>
  <si>
    <t>CUST733</t>
  </si>
  <si>
    <t>CUST476</t>
  </si>
  <si>
    <t>CUST704</t>
  </si>
  <si>
    <t>CUST146</t>
  </si>
  <si>
    <t>CUST263</t>
  </si>
  <si>
    <t>CUST671</t>
  </si>
  <si>
    <t>CUST756</t>
  </si>
  <si>
    <t>CUST568</t>
  </si>
  <si>
    <t>CUST815</t>
  </si>
  <si>
    <t>CUST825</t>
  </si>
  <si>
    <t>CUST617</t>
  </si>
  <si>
    <t>CUST624</t>
  </si>
  <si>
    <t>CUST282</t>
  </si>
  <si>
    <t>CUST718</t>
  </si>
  <si>
    <t>CUST092</t>
  </si>
  <si>
    <t>CUST479</t>
  </si>
  <si>
    <t>CUST804</t>
  </si>
  <si>
    <t>CUST050</t>
  </si>
  <si>
    <t>CUST368</t>
  </si>
  <si>
    <t>CUST116</t>
  </si>
  <si>
    <t>CUST364</t>
  </si>
  <si>
    <t>CUST622</t>
  </si>
  <si>
    <t>CUST597</t>
  </si>
  <si>
    <t>CUST725</t>
  </si>
  <si>
    <t>CUST992</t>
  </si>
  <si>
    <t>CUST306</t>
  </si>
  <si>
    <t>CUST162</t>
  </si>
  <si>
    <t>CUST073</t>
  </si>
  <si>
    <t>CUST880</t>
  </si>
  <si>
    <t>CUST219</t>
  </si>
  <si>
    <t>CUST823</t>
  </si>
  <si>
    <t>CUST638</t>
  </si>
  <si>
    <t>CUST956</t>
  </si>
  <si>
    <t>CUST981</t>
  </si>
  <si>
    <t>CUST859</t>
  </si>
  <si>
    <t>CUST029</t>
  </si>
  <si>
    <t>CUST277</t>
  </si>
  <si>
    <t>CUST635</t>
  </si>
  <si>
    <t>CUST957</t>
  </si>
  <si>
    <t>CUST569</t>
  </si>
  <si>
    <t>CUST570</t>
  </si>
  <si>
    <t>CUST630</t>
  </si>
  <si>
    <t>CUST285</t>
  </si>
  <si>
    <t>CUST427</t>
  </si>
  <si>
    <t>CUST648</t>
  </si>
  <si>
    <t>CUST926</t>
  </si>
  <si>
    <t>CUST384</t>
  </si>
  <si>
    <t>CUST217</t>
  </si>
  <si>
    <t>CUST521</t>
  </si>
  <si>
    <t>CUST816</t>
  </si>
  <si>
    <t>CUST511</t>
  </si>
  <si>
    <t>CUST695</t>
  </si>
  <si>
    <t>CUST508</t>
  </si>
  <si>
    <t>CUST807</t>
  </si>
  <si>
    <t>CUST160</t>
  </si>
  <si>
    <t>CUST801</t>
  </si>
  <si>
    <t>CUST259</t>
  </si>
  <si>
    <t>CUST529</t>
  </si>
  <si>
    <t>CUST443</t>
  </si>
  <si>
    <t>CUST563</t>
  </si>
  <si>
    <t>CUST790</t>
  </si>
  <si>
    <t>CUST716</t>
  </si>
  <si>
    <t>CUST960</t>
  </si>
  <si>
    <t>CUST125</t>
  </si>
  <si>
    <t>CUST430</t>
  </si>
  <si>
    <t>CUST633</t>
  </si>
  <si>
    <t>CUST612</t>
  </si>
  <si>
    <t>CUST875</t>
  </si>
  <si>
    <t>CUST206</t>
  </si>
  <si>
    <t>CUST418</t>
  </si>
  <si>
    <t>CUST035</t>
  </si>
  <si>
    <t>CUST279</t>
  </si>
  <si>
    <t>CUST140</t>
  </si>
  <si>
    <t>CUST308</t>
  </si>
  <si>
    <t>CUST013</t>
  </si>
  <si>
    <t>CUST261</t>
  </si>
  <si>
    <t>CUST798</t>
  </si>
  <si>
    <t>CUST549</t>
  </si>
  <si>
    <t>CUST675</t>
  </si>
  <si>
    <t>CUST730</t>
  </si>
  <si>
    <t>CUST687</t>
  </si>
  <si>
    <t>CUST347</t>
  </si>
  <si>
    <t>CUST027</t>
  </si>
  <si>
    <t>CUST949</t>
  </si>
  <si>
    <t>CUST598</t>
  </si>
  <si>
    <t>CUST672</t>
  </si>
  <si>
    <t>CUST667</t>
  </si>
  <si>
    <t>CUST463</t>
  </si>
  <si>
    <t>CUST467</t>
  </si>
  <si>
    <t>CUST262</t>
  </si>
  <si>
    <t>CUST541</t>
  </si>
  <si>
    <t>CUST980</t>
  </si>
  <si>
    <t>CUST668</t>
  </si>
  <si>
    <t>CUST457</t>
  </si>
  <si>
    <t>CUST254</t>
  </si>
  <si>
    <t>CUST295</t>
  </si>
  <si>
    <t>CUST850</t>
  </si>
  <si>
    <t>CUST702</t>
  </si>
  <si>
    <t>CUST864</t>
  </si>
  <si>
    <t>CUST557</t>
  </si>
  <si>
    <t>CUST338</t>
  </si>
  <si>
    <t>CUST543</t>
  </si>
  <si>
    <t>CUST270</t>
  </si>
  <si>
    <t>CUST299</t>
  </si>
  <si>
    <t>CUST934</t>
  </si>
  <si>
    <t>CUST105</t>
  </si>
  <si>
    <t>CUST487</t>
  </si>
  <si>
    <t>CUST605</t>
  </si>
  <si>
    <t>CUST127</t>
  </si>
  <si>
    <t>CUST213</t>
  </si>
  <si>
    <t>CUST495</t>
  </si>
  <si>
    <t>CUST773</t>
  </si>
  <si>
    <t>CUST359</t>
  </si>
  <si>
    <t>CUST114</t>
  </si>
  <si>
    <t>CUST709</t>
  </si>
  <si>
    <t>CUST698</t>
  </si>
  <si>
    <t>CUST676</t>
  </si>
  <si>
    <t>CUST304</t>
  </si>
  <si>
    <t>CUST686</t>
  </si>
  <si>
    <t>CUST515</t>
  </si>
  <si>
    <t>CUST143</t>
  </si>
  <si>
    <t>CUST661</t>
  </si>
  <si>
    <t>CUST603</t>
  </si>
  <si>
    <t>CUST144</t>
  </si>
  <si>
    <t>CUST474</t>
  </si>
  <si>
    <t>CUST829</t>
  </si>
  <si>
    <t>CUST955</t>
  </si>
  <si>
    <t>CUST302</t>
  </si>
  <si>
    <t>CUST071</t>
  </si>
  <si>
    <t>CUST728</t>
  </si>
  <si>
    <t>CUST043</t>
  </si>
  <si>
    <t>CUST551</t>
  </si>
  <si>
    <t>CUST681</t>
  </si>
  <si>
    <t>CUST093</t>
  </si>
  <si>
    <t>CUST722</t>
  </si>
  <si>
    <t>CUST053</t>
  </si>
  <si>
    <t>CUST772</t>
  </si>
  <si>
    <t>CUST216</t>
  </si>
  <si>
    <t>CUST176</t>
  </si>
  <si>
    <t>CUST439</t>
  </si>
  <si>
    <t>CUST077</t>
  </si>
  <si>
    <t>CUST381</t>
  </si>
  <si>
    <t>CUST792</t>
  </si>
  <si>
    <t>CUST759</t>
  </si>
  <si>
    <t>CUST870</t>
  </si>
  <si>
    <t>CUST075</t>
  </si>
  <si>
    <t>CUST528</t>
  </si>
  <si>
    <t>CUST447</t>
  </si>
  <si>
    <t>CUST059</t>
  </si>
  <si>
    <t>CUST802</t>
  </si>
  <si>
    <t>CUST128</t>
  </si>
  <si>
    <t>CUST186</t>
  </si>
  <si>
    <t>CUST904</t>
  </si>
  <si>
    <t>CUST045</t>
  </si>
  <si>
    <t>CUST449</t>
  </si>
  <si>
    <t>CUST078</t>
  </si>
  <si>
    <t>CUST455</t>
  </si>
  <si>
    <t>CUST260</t>
  </si>
  <si>
    <t>CUST837</t>
  </si>
  <si>
    <t>CUST684</t>
  </si>
  <si>
    <t>CUST878</t>
  </si>
  <si>
    <t>CUST492</t>
  </si>
  <si>
    <t>CUST480</t>
  </si>
  <si>
    <t>CUST737</t>
  </si>
  <si>
    <t>CUST378</t>
  </si>
  <si>
    <t>CUST788</t>
  </si>
  <si>
    <t>CUST874</t>
  </si>
  <si>
    <t>CUST509</t>
  </si>
  <si>
    <t>CUST046</t>
  </si>
  <si>
    <t>CUST407</t>
  </si>
  <si>
    <t>CUST157</t>
  </si>
  <si>
    <t>CUST036</t>
  </si>
  <si>
    <t>CUST796</t>
  </si>
  <si>
    <t>CUST927</t>
  </si>
  <si>
    <t>CUST839</t>
  </si>
  <si>
    <t>CUST271</t>
  </si>
  <si>
    <t>CUST224</t>
  </si>
  <si>
    <t>CUST830</t>
  </si>
  <si>
    <t>CUST727</t>
  </si>
  <si>
    <t>CUST040</t>
  </si>
  <si>
    <t>CUST699</t>
  </si>
  <si>
    <t>CUST654</t>
  </si>
  <si>
    <t>CUST583</t>
  </si>
  <si>
    <t>CUST466</t>
  </si>
  <si>
    <t>CUST422</t>
  </si>
  <si>
    <t>CUST532</t>
  </si>
  <si>
    <t>CUST877</t>
  </si>
  <si>
    <t>CUST498</t>
  </si>
  <si>
    <t>CUST239</t>
  </si>
  <si>
    <t>CUST669</t>
  </si>
  <si>
    <t>CUST488</t>
  </si>
  <si>
    <t>CUST723</t>
  </si>
  <si>
    <t>CUST726</t>
  </si>
  <si>
    <t>CUST542</t>
  </si>
  <si>
    <t>CUST833</t>
  </si>
  <si>
    <t>CUST100</t>
  </si>
  <si>
    <t>CUST182</t>
  </si>
  <si>
    <t>CUST819</t>
  </si>
  <si>
    <t>CUST567</t>
  </si>
  <si>
    <t>CUST655</t>
  </si>
  <si>
    <t>CUST629</t>
  </si>
  <si>
    <t>CUST887</t>
  </si>
  <si>
    <t>CUST352</t>
  </si>
  <si>
    <t>CUST104</t>
  </si>
  <si>
    <t>CUST365</t>
  </si>
  <si>
    <t>CUST110</t>
  </si>
  <si>
    <t>CUST356</t>
  </si>
  <si>
    <t>CUST534</t>
  </si>
  <si>
    <t>CUST510</t>
  </si>
  <si>
    <t>CUST321</t>
  </si>
  <si>
    <t>CUST765</t>
  </si>
  <si>
    <t>CUST769</t>
  </si>
  <si>
    <t>CUST212</t>
  </si>
  <si>
    <t>CUST587</t>
  </si>
  <si>
    <t>CUST539</t>
  </si>
  <si>
    <t>CUST187</t>
  </si>
  <si>
    <t>CUST446</t>
  </si>
  <si>
    <t>CUST882</t>
  </si>
  <si>
    <t>CUST961</t>
  </si>
  <si>
    <t>CUST481</t>
  </si>
  <si>
    <t>CUST867</t>
  </si>
  <si>
    <t>CUST944</t>
  </si>
  <si>
    <t>CUST560</t>
  </si>
  <si>
    <t>CUST782</t>
  </si>
  <si>
    <t>CUST387</t>
  </si>
  <si>
    <t>CUST906</t>
  </si>
  <si>
    <t>CUST556</t>
  </si>
  <si>
    <t>CUST363</t>
  </si>
  <si>
    <t>CUST394</t>
  </si>
  <si>
    <t>CUST537</t>
  </si>
  <si>
    <t>CUST958</t>
  </si>
  <si>
    <t>CUST685</t>
  </si>
  <si>
    <t>CUST170</t>
  </si>
  <si>
    <t>CUST902</t>
  </si>
  <si>
    <t>CUST315</t>
  </si>
  <si>
    <t>CUST545</t>
  </si>
  <si>
    <t>CUST862</t>
  </si>
  <si>
    <t>CUST056</t>
  </si>
  <si>
    <t>CUST159</t>
  </si>
  <si>
    <t>CUST915</t>
  </si>
  <si>
    <t>CUST985</t>
  </si>
  <si>
    <t>CUST067</t>
  </si>
  <si>
    <t>CUST988</t>
  </si>
  <si>
    <t>CUST561</t>
  </si>
  <si>
    <t>CUST651</t>
  </si>
  <si>
    <t>CUST307</t>
  </si>
  <si>
    <t>CUST578</t>
  </si>
  <si>
    <t>CUST382</t>
  </si>
  <si>
    <t>CUST923</t>
  </si>
  <si>
    <t>CUST990</t>
  </si>
  <si>
    <t>CUST404</t>
  </si>
  <si>
    <t>CUST899</t>
  </si>
  <si>
    <t>CUST840</t>
  </si>
  <si>
    <t>CUST491</t>
  </si>
  <si>
    <t>CUST822</t>
  </si>
  <si>
    <t>CUST243</t>
  </si>
  <si>
    <t>CUST031</t>
  </si>
  <si>
    <t>CUST489</t>
  </si>
  <si>
    <t>CUST281</t>
  </si>
  <si>
    <t>CUST729</t>
  </si>
  <si>
    <t>CUST072</t>
  </si>
  <si>
    <t>CUST037</t>
  </si>
  <si>
    <t>CUST895</t>
  </si>
  <si>
    <t>CUST642</t>
  </si>
  <si>
    <t>CUST419</t>
  </si>
  <si>
    <t>CUST843</t>
  </si>
  <si>
    <t>CUST647</t>
  </si>
  <si>
    <t>CUST911</t>
  </si>
  <si>
    <t>CUST004</t>
  </si>
  <si>
    <t>CUST653</t>
  </si>
  <si>
    <t>CUST694</t>
  </si>
  <si>
    <t>CUST403</t>
  </si>
  <si>
    <t>CUST811</t>
  </si>
  <si>
    <t>CUST094</t>
  </si>
  <si>
    <t>CUST881</t>
  </si>
  <si>
    <t>CUST106</t>
  </si>
  <si>
    <t>CUST818</t>
  </si>
  <si>
    <t>CUST470</t>
  </si>
  <si>
    <t>CUST081</t>
  </si>
  <si>
    <t>CUST155</t>
  </si>
  <si>
    <t>CUST376</t>
  </si>
  <si>
    <t>CUST411</t>
  </si>
  <si>
    <t>CUST996</t>
  </si>
  <si>
    <t>CUST970</t>
  </si>
  <si>
    <t>CUST203</t>
  </si>
  <si>
    <t>CUST048</t>
  </si>
  <si>
    <t>CUST398</t>
  </si>
  <si>
    <t>CUST504</t>
  </si>
  <si>
    <t>CUST358</t>
  </si>
  <si>
    <t>CUST118</t>
  </si>
  <si>
    <t>CUST305</t>
  </si>
  <si>
    <t>CUST425</t>
  </si>
  <si>
    <t>CUST164</t>
  </si>
  <si>
    <t>CUST123</t>
  </si>
  <si>
    <t>CUST721</t>
  </si>
  <si>
    <t>CUST501</t>
  </si>
  <si>
    <t>CUST353</t>
  </si>
  <si>
    <t>CUST639</t>
  </si>
  <si>
    <t>CUST838</t>
  </si>
  <si>
    <t>CUST758</t>
  </si>
  <si>
    <t>CUST518</t>
  </si>
  <si>
    <t>CUST731</t>
  </si>
  <si>
    <t>CUST930</t>
  </si>
  <si>
    <t>CUST414</t>
  </si>
  <si>
    <t>CUST883</t>
  </si>
  <si>
    <t>CUST148</t>
  </si>
  <si>
    <t>CUST620</t>
  </si>
  <si>
    <t>CUST946</t>
  </si>
  <si>
    <t>CUST452</t>
  </si>
  <si>
    <t>CUST273</t>
  </si>
  <si>
    <t>CUST283</t>
  </si>
  <si>
    <t>CUST469</t>
  </si>
  <si>
    <t>CUST120</t>
  </si>
  <si>
    <t>CUST640</t>
  </si>
  <si>
    <t>CUST744</t>
  </si>
  <si>
    <t>CUST221</t>
  </si>
  <si>
    <t>CUST341</t>
  </si>
  <si>
    <t>CUST380</t>
  </si>
  <si>
    <t>CUST090</t>
  </si>
  <si>
    <t>CUST820</t>
  </si>
  <si>
    <t>CUST593</t>
  </si>
  <si>
    <t>CUST005</t>
  </si>
  <si>
    <t>CUST824</t>
  </si>
  <si>
    <t>CUST779</t>
  </si>
  <si>
    <t>CUST252</t>
  </si>
  <si>
    <t>CUST866</t>
  </si>
  <si>
    <t>CUST606</t>
  </si>
  <si>
    <t>CUST190</t>
  </si>
  <si>
    <t>CUST849</t>
  </si>
  <si>
    <t>CUST853</t>
  </si>
  <si>
    <t>CUST974</t>
  </si>
  <si>
    <t>CUST749</t>
  </si>
  <si>
    <t>CUST188</t>
  </si>
  <si>
    <t>CUST357</t>
  </si>
  <si>
    <t>CUST646</t>
  </si>
  <si>
    <t>CUST293</t>
  </si>
  <si>
    <t>CUST460</t>
  </si>
  <si>
    <t>CUST242</t>
  </si>
  <si>
    <t>CUST337</t>
  </si>
  <si>
    <t>CUST652</t>
  </si>
  <si>
    <t>CUST585</t>
  </si>
  <si>
    <t>CUST069</t>
  </si>
  <si>
    <t>CUST018</t>
  </si>
  <si>
    <t>CUST995</t>
  </si>
  <si>
    <t>CUST660</t>
  </si>
  <si>
    <t>CUST987</t>
  </si>
  <si>
    <t>CUST884</t>
  </si>
  <si>
    <t>CUST228</t>
  </si>
  <si>
    <t>CUST236</t>
  </si>
  <si>
    <t>CUST102</t>
  </si>
  <si>
    <t>CUST903</t>
  </si>
  <si>
    <t>CUST066</t>
  </si>
  <si>
    <t>CUST482</t>
  </si>
  <si>
    <t>CUST222</t>
  </si>
  <si>
    <t>CUST953</t>
  </si>
  <si>
    <t>CUST588</t>
  </si>
  <si>
    <t>CUST483</t>
  </si>
  <si>
    <t>CUST006</t>
  </si>
  <si>
    <t>CUST738</t>
  </si>
  <si>
    <t>CUST477</t>
  </si>
  <si>
    <t>CUST863</t>
  </si>
  <si>
    <t>CUST098</t>
  </si>
  <si>
    <t>CUST230</t>
  </si>
  <si>
    <t>CUST613</t>
  </si>
  <si>
    <t>CUST691</t>
  </si>
  <si>
    <t>CUST028</t>
  </si>
  <si>
    <t>CUST693</t>
  </si>
  <si>
    <t>CUST129</t>
  </si>
  <si>
    <t>CUST755</t>
  </si>
  <si>
    <t>CUST316</t>
  </si>
  <si>
    <t>CUST017</t>
  </si>
  <si>
    <t>CUST893</t>
  </si>
  <si>
    <t>CUST039</t>
  </si>
  <si>
    <t>CUST374</t>
  </si>
  <si>
    <t>CUST665</t>
  </si>
  <si>
    <t>CUST246</t>
  </si>
  <si>
    <t>CUST572</t>
  </si>
  <si>
    <t>CUST298</t>
  </si>
  <si>
    <t>CUST724</t>
  </si>
  <si>
    <t>CUST207</t>
  </si>
  <si>
    <t>CUST969</t>
  </si>
  <si>
    <t>CUST111</t>
  </si>
  <si>
    <t>CUST108</t>
  </si>
  <si>
    <t>CUST836</t>
  </si>
  <si>
    <t>CUST450</t>
  </si>
  <si>
    <t>CUST562</t>
  </si>
  <si>
    <t>CUST079</t>
  </si>
  <si>
    <t>CUST406</t>
  </si>
  <si>
    <t>CUST967</t>
  </si>
  <si>
    <t>CUST674</t>
  </si>
  <si>
    <t>CUST408</t>
  </si>
  <si>
    <t>CUST354</t>
  </si>
  <si>
    <t>CUST478</t>
  </si>
  <si>
    <t>CUST745</t>
  </si>
  <si>
    <t>CUST210</t>
  </si>
  <si>
    <t>CUST1000</t>
  </si>
  <si>
    <t>CUST774</t>
  </si>
  <si>
    <t>CUST174</t>
  </si>
  <si>
    <t>CUST589</t>
  </si>
  <si>
    <t>CUST023</t>
  </si>
  <si>
    <t>CUST527</t>
  </si>
  <si>
    <t>CUST901</t>
  </si>
  <si>
    <t>CUST601</t>
  </si>
  <si>
    <t>CUST548</t>
  </si>
  <si>
    <t>CUST886</t>
  </si>
  <si>
    <t>CUST486</t>
  </si>
  <si>
    <t>CUST274</t>
  </si>
  <si>
    <t>CUST061</t>
  </si>
  <si>
    <t>CUST892</t>
  </si>
  <si>
    <t>CUST314</t>
  </si>
  <si>
    <t>CUST255</t>
  </si>
  <si>
    <t>CUST517</t>
  </si>
  <si>
    <t>CUST275</t>
  </si>
  <si>
    <t>CUST847</t>
  </si>
  <si>
    <t>CUST332</t>
  </si>
  <si>
    <t>CUST891</t>
  </si>
  <si>
    <t>CUST928</t>
  </si>
  <si>
    <t>CUST834</t>
  </si>
  <si>
    <t>CUST719</t>
  </si>
  <si>
    <t>CUST280</t>
  </si>
  <si>
    <t>CUST905</t>
  </si>
  <si>
    <t>CUST465</t>
  </si>
  <si>
    <t>CUST502</t>
  </si>
  <si>
    <t>CUST166</t>
  </si>
  <si>
    <t>CUST462</t>
  </si>
  <si>
    <t>CUST614</t>
  </si>
  <si>
    <t>CUST808</t>
  </si>
  <si>
    <t>CUST553</t>
  </si>
  <si>
    <t>CUST975</t>
  </si>
  <si>
    <t>CUST088</t>
  </si>
  <si>
    <t>CUST575</t>
  </si>
  <si>
    <t>CUST760</t>
  </si>
  <si>
    <t>CUST294</t>
  </si>
  <si>
    <t>CUST202</t>
  </si>
  <si>
    <t>CUST703</t>
  </si>
  <si>
    <t>CUST301</t>
  </si>
  <si>
    <t>CUST091</t>
  </si>
  <si>
    <t>CUST764</t>
  </si>
  <si>
    <t>CUST076</t>
  </si>
  <si>
    <t>CUST461</t>
  </si>
  <si>
    <t>CUST177</t>
  </si>
  <si>
    <t>CUST426</t>
  </si>
  <si>
    <t>CUST033</t>
  </si>
  <si>
    <t>CUST138</t>
  </si>
  <si>
    <t>CUST471</t>
  </si>
  <si>
    <t>CUST636</t>
  </si>
  <si>
    <t>CUST161</t>
  </si>
  <si>
    <t>CUST973</t>
  </si>
  <si>
    <t>CUST978</t>
  </si>
  <si>
    <t>CUST383</t>
  </si>
  <si>
    <t>CUST328</t>
  </si>
  <si>
    <t>CUST313</t>
  </si>
  <si>
    <t>CUST402</t>
  </si>
  <si>
    <t>CUST038</t>
  </si>
  <si>
    <t>CUST459</t>
  </si>
  <si>
    <t>CUST136</t>
  </si>
  <si>
    <t>CUST806</t>
  </si>
  <si>
    <t>CUST175</t>
  </si>
  <si>
    <t>CUST748</t>
  </si>
  <si>
    <t>CUST663</t>
  </si>
  <si>
    <t>CUST941</t>
  </si>
  <si>
    <t>CUST659</t>
  </si>
  <si>
    <t>CUST436</t>
  </si>
  <si>
    <t>CUST942</t>
  </si>
  <si>
    <t>CUST442</t>
  </si>
  <si>
    <t>CUST607</t>
  </si>
  <si>
    <t>CUST590</t>
  </si>
  <si>
    <t>CUST117</t>
  </si>
  <si>
    <t>CUST119</t>
  </si>
  <si>
    <t>CUST007</t>
  </si>
  <si>
    <t>CUST278</t>
  </si>
  <si>
    <t>CUST658</t>
  </si>
  <si>
    <t>CUST130</t>
  </si>
  <si>
    <t>CUST717</t>
  </si>
  <si>
    <t>CUST623</t>
  </si>
  <si>
    <t>CUST397</t>
  </si>
  <si>
    <t>CUST377</t>
  </si>
  <si>
    <t>CUST360</t>
  </si>
  <si>
    <t>CUST248</t>
  </si>
  <si>
    <t>CUST423</t>
  </si>
  <si>
    <t>CUST547</t>
  </si>
  <si>
    <t>CUST444</t>
  </si>
  <si>
    <t>CUST705</t>
  </si>
  <si>
    <t>CUST198</t>
  </si>
  <si>
    <t>CUST917</t>
  </si>
  <si>
    <t>CUST197</t>
  </si>
  <si>
    <t>CUST750</t>
  </si>
  <si>
    <t>CUST910</t>
  </si>
  <si>
    <t>CUST536</t>
  </si>
  <si>
    <t>CUST052</t>
  </si>
  <si>
    <t>CUST621</t>
  </si>
  <si>
    <t>CUST220</t>
  </si>
  <si>
    <t>CUST885</t>
  </si>
  <si>
    <t>CUST888</t>
  </si>
  <si>
    <t>CUST785</t>
  </si>
  <si>
    <t>CUST339</t>
  </si>
  <si>
    <t>CUST947</t>
  </si>
  <si>
    <t>CUST399</t>
  </si>
  <si>
    <t>CUST500</t>
  </si>
  <si>
    <t>CUST514</t>
  </si>
  <si>
    <t>CUST932</t>
  </si>
  <si>
    <t>CUST152</t>
  </si>
  <si>
    <t>CUST763</t>
  </si>
  <si>
    <t>CUST753</t>
  </si>
  <si>
    <t>CUST158</t>
  </si>
  <si>
    <t>CUST433</t>
  </si>
  <si>
    <t>CUST002</t>
  </si>
  <si>
    <t>CUST185</t>
  </si>
  <si>
    <t>CUST135</t>
  </si>
  <si>
    <t>CUST473</t>
  </si>
  <si>
    <t>CUST272</t>
  </si>
  <si>
    <t>CUST766</t>
  </si>
  <si>
    <t>CUST506</t>
  </si>
  <si>
    <t>CUST168</t>
  </si>
  <si>
    <t>CUST400</t>
  </si>
  <si>
    <t>CUST611</t>
  </si>
  <si>
    <t>CUST800</t>
  </si>
  <si>
    <t>CUST396</t>
  </si>
  <si>
    <t>CUST780</t>
  </si>
  <si>
    <t>CUST454</t>
  </si>
  <si>
    <t>CUST041</t>
  </si>
  <si>
    <t>CUST008</t>
  </si>
  <si>
    <t>CUST920</t>
  </si>
  <si>
    <t>CUST070</t>
  </si>
  <si>
    <t>CUST900</t>
  </si>
  <si>
    <t>CUST371</t>
  </si>
  <si>
    <t>CUST966</t>
  </si>
  <si>
    <t>CUST287</t>
  </si>
  <si>
    <t>CUST268</t>
  </si>
  <si>
    <t>CUST044</t>
  </si>
  <si>
    <t>CUST257</t>
  </si>
  <si>
    <t>CUST256</t>
  </si>
  <si>
    <t>CUST416</t>
  </si>
  <si>
    <t>CUST861</t>
  </si>
  <si>
    <t>CUST584</t>
  </si>
  <si>
    <t>CUST042</t>
  </si>
  <si>
    <t>CUST292</t>
  </si>
  <si>
    <t>CUST016</t>
  </si>
  <si>
    <t>CUST133</t>
  </si>
  <si>
    <t>CUST821</t>
  </si>
  <si>
    <t>CUST011</t>
  </si>
  <si>
    <t>CUST848</t>
  </si>
  <si>
    <t>CUST193</t>
  </si>
  <si>
    <t>CUST945</t>
  </si>
  <si>
    <t>CUST577</t>
  </si>
  <si>
    <t>CUST714</t>
  </si>
  <si>
    <t>CUST732</t>
  </si>
  <si>
    <t>CUST346</t>
  </si>
  <si>
    <t>CUST972</t>
  </si>
  <si>
    <t>CUST657</t>
  </si>
  <si>
    <t>CUST331</t>
  </si>
  <si>
    <t>CUST192</t>
  </si>
  <si>
    <t>CUST054</t>
  </si>
  <si>
    <t>CUST068</t>
  </si>
  <si>
    <t>CUST649</t>
  </si>
  <si>
    <t>CUST775</t>
  </si>
  <si>
    <t>CUST284</t>
  </si>
  <si>
    <t>CUST434</t>
  </si>
  <si>
    <t>CUST977</t>
  </si>
  <si>
    <t>CUST596</t>
  </si>
  <si>
    <t>CUST366</t>
  </si>
  <si>
    <t>CUST936</t>
  </si>
  <si>
    <t>CUST372</t>
  </si>
  <si>
    <t>CUST993</t>
  </si>
  <si>
    <t>CUST232</t>
  </si>
  <si>
    <t>CUST085</t>
  </si>
  <si>
    <t>CUST240</t>
  </si>
  <si>
    <t>CUST063</t>
  </si>
  <si>
    <t>CUST333</t>
  </si>
  <si>
    <t>CUST793</t>
  </si>
  <si>
    <t>CUST195</t>
  </si>
  <si>
    <t>CUST379</t>
  </si>
  <si>
    <t>CUST490</t>
  </si>
  <si>
    <t>CUST740</t>
  </si>
  <si>
    <t>CUST530</t>
  </si>
  <si>
    <t>CUST237</t>
  </si>
  <si>
    <t>CUST335</t>
  </si>
  <si>
    <t>CUST933</t>
  </si>
  <si>
    <t>CUST107</t>
  </si>
  <si>
    <t>CUST223</t>
  </si>
  <si>
    <t>CUST666</t>
  </si>
  <si>
    <t>CUST142</t>
  </si>
  <si>
    <t>CUST673</t>
  </si>
  <si>
    <t>CUST320</t>
  </si>
  <si>
    <t>CUST269</t>
  </si>
  <si>
    <t>CUST964</t>
  </si>
  <si>
    <t>CUST235</t>
  </si>
  <si>
    <t>CUST300</t>
  </si>
  <si>
    <t>CUST189</t>
  </si>
  <si>
    <t>CUST322</t>
  </si>
  <si>
    <t>CUST329</t>
  </si>
  <si>
    <t>CUST317</t>
  </si>
  <si>
    <t>CUST101</t>
  </si>
  <si>
    <t>CUST264</t>
  </si>
  <si>
    <t>CUST913</t>
  </si>
  <si>
    <t>CUST940</t>
  </si>
  <si>
    <t>CUST415</t>
  </si>
  <si>
    <t>CUST736</t>
  </si>
  <si>
    <t>CUST929</t>
  </si>
  <si>
    <t>CUST720</t>
  </si>
  <si>
    <t>CUST323</t>
  </si>
  <si>
    <t>CUST288</t>
  </si>
  <si>
    <t>CUST618</t>
  </si>
  <si>
    <t>CUST134</t>
  </si>
  <si>
    <t>CUST912</t>
  </si>
  <si>
    <t>CUST064</t>
  </si>
  <si>
    <t>CUST592</t>
  </si>
  <si>
    <t>CUST049</t>
  </si>
  <si>
    <t>CUST519</t>
  </si>
  <si>
    <t>CUST420</t>
  </si>
  <si>
    <t>CUST445</t>
  </si>
  <si>
    <t>CUST787</t>
  </si>
  <si>
    <t>CUST448</t>
  </si>
  <si>
    <t>CUST344</t>
  </si>
  <si>
    <t>CUST742</t>
  </si>
  <si>
    <t>CUST475</t>
  </si>
  <si>
    <t>CUST505</t>
  </si>
  <si>
    <t>CUST438</t>
  </si>
  <si>
    <t>CUST014</t>
  </si>
  <si>
    <t>CUST103</t>
  </si>
  <si>
    <t>CUST986</t>
  </si>
  <si>
    <t>CUST238</t>
  </si>
  <si>
    <t>CUST015</t>
  </si>
  <si>
    <t>CUST743</t>
  </si>
  <si>
    <t>CUST697</t>
  </si>
  <si>
    <t>CUST499</t>
  </si>
  <si>
    <t>CUST831</t>
  </si>
  <si>
    <t>CUST021</t>
  </si>
  <si>
    <t>CUST708</t>
  </si>
  <si>
    <t>CUST713</t>
  </si>
  <si>
    <t>CUST768</t>
  </si>
  <si>
    <t>CUST591</t>
  </si>
  <si>
    <t>CUST003</t>
  </si>
  <si>
    <t>CUST464</t>
  </si>
  <si>
    <t>CUST484</t>
  </si>
  <si>
    <t>CUST225</t>
  </si>
  <si>
    <t>CUST746</t>
  </si>
  <si>
    <t>CUST679</t>
  </si>
  <si>
    <t>CUST184</t>
  </si>
  <si>
    <t>CUST734</t>
  </si>
  <si>
    <t>CUST860</t>
  </si>
  <si>
    <t>CUST291</t>
  </si>
  <si>
    <t>CUST907</t>
  </si>
  <si>
    <t>CUST921</t>
  </si>
  <si>
    <t>CUST797</t>
  </si>
  <si>
    <t>CUST150</t>
  </si>
  <si>
    <t>CUST845</t>
  </si>
  <si>
    <t>CUST432</t>
  </si>
  <si>
    <t>CUST367</t>
  </si>
  <si>
    <t>CUST391</t>
  </si>
  <si>
    <t>CUST683</t>
  </si>
  <si>
    <t>CUST032</t>
  </si>
  <si>
    <t>CUST231</t>
  </si>
  <si>
    <t>CUST610</t>
  </si>
  <si>
    <t>CUST163</t>
  </si>
  <si>
    <t>CUST421</t>
  </si>
  <si>
    <t>CUST303</t>
  </si>
  <si>
    <t>CUST979</t>
  </si>
  <si>
    <t>CUST522</t>
  </si>
  <si>
    <t>CUST180</t>
  </si>
  <si>
    <t>CUST559</t>
  </si>
  <si>
    <t>Product category</t>
  </si>
  <si>
    <t>Concatenate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</si>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</sst>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18" fillId="0" borderId="13" xfId="0" applyFont="1" applyBorder="1"/>
    <xf numFmtId="0" fontId="18" fillId="0" borderId="14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0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165" fontId="18" fillId="0" borderId="15" xfId="0" applyNumberFormat="1" applyFont="1" applyBorder="1"/>
    <xf numFmtId="165" fontId="0" fillId="0" borderId="15" xfId="0" applyNumberFormat="1" applyBorder="1"/>
    <xf numFmtId="165" fontId="0" fillId="0" borderId="12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4" formatCode="0.00%"/>
    </dxf>
    <dxf>
      <font>
        <color rgb="FF006100"/>
      </font>
      <fill>
        <patternFill>
          <bgColor rgb="FFC6EFCE"/>
        </patternFill>
      </fill>
    </dxf>
    <dxf>
      <numFmt numFmtId="165" formatCode="_-[$£-809]* #,##0.00_-;\-[$£-809]* #,##0.00_-;_-[$£-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[retail_sales_dataset_Jordan.xlsx]Sheet1!PivotTable1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 and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Sheet1!$B$5:$B$8</c:f>
              <c:numCache>
                <c:formatCode>_-[$£-809]* #,##0.00_-;\-[$£-809]* #,##0.00_-;_-[$£-809]* "-"??_-;_-@_-</c:formatCode>
                <c:ptCount val="3"/>
                <c:pt idx="0">
                  <c:v>70230</c:v>
                </c:pt>
                <c:pt idx="1">
                  <c:v>63310</c:v>
                </c:pt>
                <c:pt idx="2">
                  <c:v>65995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4-4F00-B2FE-E0868C10208B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Sheet1!$C$5:$C$8</c:f>
              <c:numCache>
                <c:formatCode>_-[$£-809]* #,##0.00_-;\-[$£-809]* #,##0.00_-;_-[$£-809]* "-"??_-;_-@_-</c:formatCode>
                <c:ptCount val="3"/>
                <c:pt idx="0">
                  <c:v>31885</c:v>
                </c:pt>
                <c:pt idx="1">
                  <c:v>46120</c:v>
                </c:pt>
                <c:pt idx="2">
                  <c:v>55305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EE4-4F00-B2FE-E0868C10208B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Sheet1!$D$5:$D$8</c:f>
              <c:numCache>
                <c:formatCode>_-[$£-809]* #,##0.00_-;\-[$£-809]* #,##0.00_-;_-[$£-809]* "-"??_-;_-@_-</c:formatCode>
                <c:ptCount val="3"/>
                <c:pt idx="0">
                  <c:v>41400</c:v>
                </c:pt>
                <c:pt idx="1">
                  <c:v>46150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8EE4-4F00-B2FE-E0868C102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596040"/>
        <c:axId val="375598088"/>
      </c:barChart>
      <c:catAx>
        <c:axId val="375596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98088"/>
        <c:crosses val="autoZero"/>
        <c:auto val="1"/>
        <c:lblAlgn val="ctr"/>
        <c:lblOffset val="100"/>
        <c:noMultiLvlLbl val="0"/>
      </c:catAx>
      <c:valAx>
        <c:axId val="37559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9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0</xdr:row>
      <xdr:rowOff>171450</xdr:rowOff>
    </xdr:from>
    <xdr:to>
      <xdr:col>16</xdr:col>
      <xdr:colOff>409575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F0E534-5D2B-60B4-A439-9881BD497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133350</xdr:colOff>
      <xdr:row>11</xdr:row>
      <xdr:rowOff>28575</xdr:rowOff>
    </xdr:from>
    <xdr:to>
      <xdr:col>6</xdr:col>
      <xdr:colOff>504825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Gender">
              <a:extLst>
                <a:ext uri="{FF2B5EF4-FFF2-40B4-BE49-F238E27FC236}">
                  <a16:creationId xmlns:a16="http://schemas.microsoft.com/office/drawing/2014/main" id="{0B453B02-733F-975F-0E5A-4EF01012487F}"/>
                </a:ext>
                <a:ext uri="{147F2762-F138-4A5C-976F-8EAC2B608ADB}">
                  <a16:predDERef xmlns:a16="http://schemas.microsoft.com/office/drawing/2014/main" pred="{73F0E534-5D2B-60B4-A439-9881BD4973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5475" y="2133600"/>
              <a:ext cx="1828800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819150</xdr:colOff>
      <xdr:row>11</xdr:row>
      <xdr:rowOff>19050</xdr:rowOff>
    </xdr:from>
    <xdr:to>
      <xdr:col>3</xdr:col>
      <xdr:colOff>714375</xdr:colOff>
      <xdr:row>17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Generation">
              <a:extLst>
                <a:ext uri="{FF2B5EF4-FFF2-40B4-BE49-F238E27FC236}">
                  <a16:creationId xmlns:a16="http://schemas.microsoft.com/office/drawing/2014/main" id="{AE93C143-BEB1-1105-C2D2-645C2F7DB8E2}"/>
                </a:ext>
                <a:ext uri="{147F2762-F138-4A5C-976F-8EAC2B608ADB}">
                  <a16:predDERef xmlns:a16="http://schemas.microsoft.com/office/drawing/2014/main" pred="{0B453B02-733F-975F-0E5A-4EF0101248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875" y="2057400"/>
              <a:ext cx="182880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66675</xdr:colOff>
      <xdr:row>11</xdr:row>
      <xdr:rowOff>19050</xdr:rowOff>
    </xdr:from>
    <xdr:to>
      <xdr:col>1</xdr:col>
      <xdr:colOff>495300</xdr:colOff>
      <xdr:row>17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oduct Category">
              <a:extLst>
                <a:ext uri="{FF2B5EF4-FFF2-40B4-BE49-F238E27FC236}">
                  <a16:creationId xmlns:a16="http://schemas.microsoft.com/office/drawing/2014/main" id="{94075D94-5604-AD9E-EBB2-CE11511B9003}"/>
                </a:ext>
                <a:ext uri="{147F2762-F138-4A5C-976F-8EAC2B608ADB}">
                  <a16:predDERef xmlns:a16="http://schemas.microsoft.com/office/drawing/2014/main" pred="{AE93C143-BEB1-1105-C2D2-645C2F7DB8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5850" y="2609850"/>
              <a:ext cx="182880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611962037037" createdVersion="8" refreshedVersion="8" minRefreshableVersion="3" recordCount="1000" xr:uid="{C7A1764A-D6D7-4A09-AD59-42F8C4CE8EBD}">
  <cacheSource type="worksheet">
    <worksheetSource ref="A1:Q1001" sheet="retail_sales_dataset"/>
  </cacheSource>
  <cacheFields count="17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y2" numFmtId="0">
      <sharedItems/>
    </cacheField>
    <cacheField name="Month2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Total Sales" numFmtId="165">
      <sharedItems containsSemiMixedTypes="0" containsString="0" containsNumber="1" containsInteger="1" minValue="25" maxValue="2000"/>
    </cacheField>
    <cacheField name="Commission 2023" numFmtId="165">
      <sharedItems containsSemiMixedTypes="0" containsString="0" containsNumber="1" minValue="0.375" maxValue="30"/>
    </cacheField>
    <cacheField name="Commis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9641150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s v="Fri"/>
    <s v="Nov"/>
    <d v="2023-11-24T00:00:00"/>
    <s v="CUST001"/>
    <x v="0"/>
    <x v="0"/>
    <n v="34"/>
    <x v="0"/>
    <n v="3"/>
    <n v="50"/>
    <n v="150"/>
    <n v="2.25"/>
    <n v="3"/>
  </r>
  <r>
    <n v="2"/>
    <n v="27"/>
    <n v="2"/>
    <n v="2023"/>
    <s v="Monday"/>
    <s v="Feb"/>
    <d v="2023-02-27T00:00:00"/>
    <s v="CUST002"/>
    <x v="1"/>
    <x v="1"/>
    <n v="26"/>
    <x v="1"/>
    <n v="2"/>
    <n v="500"/>
    <n v="1000"/>
    <n v="15"/>
    <n v="20"/>
  </r>
  <r>
    <n v="3"/>
    <n v="13"/>
    <n v="1"/>
    <n v="2023"/>
    <s v="Friday"/>
    <s v="Jan"/>
    <d v="2023-01-13T00:00:00"/>
    <s v="CUST003"/>
    <x v="0"/>
    <x v="0"/>
    <n v="50"/>
    <x v="2"/>
    <n v="1"/>
    <n v="30"/>
    <n v="30"/>
    <n v="0.44999999999999996"/>
    <n v="0.6"/>
  </r>
  <r>
    <n v="4"/>
    <n v="21"/>
    <n v="5"/>
    <n v="2023"/>
    <s v="Sunday"/>
    <s v="May"/>
    <d v="2023-05-21T00:00:00"/>
    <s v="CUST004"/>
    <x v="0"/>
    <x v="0"/>
    <n v="37"/>
    <x v="1"/>
    <n v="1"/>
    <n v="500"/>
    <n v="500"/>
    <n v="7.5"/>
    <n v="10"/>
  </r>
  <r>
    <n v="5"/>
    <n v="6"/>
    <n v="5"/>
    <n v="2023"/>
    <s v="Saturday"/>
    <s v="May"/>
    <d v="2023-05-06T00:00:00"/>
    <s v="CUST005"/>
    <x v="0"/>
    <x v="0"/>
    <n v="30"/>
    <x v="0"/>
    <n v="2"/>
    <n v="50"/>
    <n v="100"/>
    <n v="1.5"/>
    <n v="2"/>
  </r>
  <r>
    <n v="6"/>
    <n v="25"/>
    <n v="4"/>
    <n v="2023"/>
    <s v="Tuesday"/>
    <s v="Apr"/>
    <d v="2023-04-25T00:00:00"/>
    <s v="CUST006"/>
    <x v="1"/>
    <x v="0"/>
    <n v="45"/>
    <x v="0"/>
    <n v="1"/>
    <n v="30"/>
    <n v="30"/>
    <n v="0.44999999999999996"/>
    <n v="0.6"/>
  </r>
  <r>
    <n v="7"/>
    <n v="13"/>
    <n v="3"/>
    <n v="2023"/>
    <s v="Monday"/>
    <s v="Mar"/>
    <d v="2023-03-13T00:00:00"/>
    <s v="CUST007"/>
    <x v="0"/>
    <x v="0"/>
    <n v="46"/>
    <x v="1"/>
    <n v="2"/>
    <n v="25"/>
    <n v="50"/>
    <n v="0.75"/>
    <n v="1"/>
  </r>
  <r>
    <n v="8"/>
    <n v="22"/>
    <n v="2"/>
    <n v="2023"/>
    <s v="Wednesday"/>
    <s v="Feb"/>
    <d v="2023-02-22T00:00:00"/>
    <s v="CUST008"/>
    <x v="0"/>
    <x v="0"/>
    <n v="30"/>
    <x v="2"/>
    <n v="4"/>
    <n v="25"/>
    <n v="100"/>
    <n v="1.5"/>
    <n v="2"/>
  </r>
  <r>
    <n v="9"/>
    <n v="13"/>
    <n v="12"/>
    <n v="2023"/>
    <s v="Wednesday"/>
    <s v="Dec"/>
    <d v="2023-12-13T00:00:00"/>
    <s v="CUST009"/>
    <x v="0"/>
    <x v="2"/>
    <n v="63"/>
    <x v="2"/>
    <n v="2"/>
    <n v="300"/>
    <n v="600"/>
    <n v="9"/>
    <n v="12"/>
  </r>
  <r>
    <n v="10"/>
    <n v="7"/>
    <n v="10"/>
    <n v="2023"/>
    <s v="Saturday"/>
    <s v="Oct"/>
    <d v="2023-10-07T00:00:00"/>
    <s v="CUST010"/>
    <x v="1"/>
    <x v="2"/>
    <n v="52"/>
    <x v="1"/>
    <n v="4"/>
    <n v="50"/>
    <n v="200"/>
    <n v="3"/>
    <n v="4"/>
  </r>
  <r>
    <n v="11"/>
    <n v="14"/>
    <n v="2"/>
    <n v="2023"/>
    <s v="Tuesday"/>
    <s v="Feb"/>
    <d v="2023-02-14T00:00:00"/>
    <s v="CUST011"/>
    <x v="0"/>
    <x v="1"/>
    <n v="23"/>
    <x v="1"/>
    <n v="2"/>
    <n v="50"/>
    <n v="100"/>
    <n v="1.5"/>
    <n v="2"/>
  </r>
  <r>
    <n v="12"/>
    <n v="30"/>
    <n v="10"/>
    <n v="2023"/>
    <s v="Monday"/>
    <s v="Oct"/>
    <d v="2023-10-30T00:00:00"/>
    <s v="CUST012"/>
    <x v="0"/>
    <x v="0"/>
    <n v="35"/>
    <x v="0"/>
    <n v="3"/>
    <n v="25"/>
    <n v="75"/>
    <n v="1.125"/>
    <n v="1.5"/>
  </r>
  <r>
    <n v="13"/>
    <n v="5"/>
    <n v="8"/>
    <n v="2023"/>
    <s v="Saturday"/>
    <s v="Aug"/>
    <d v="2023-08-05T00:00:00"/>
    <s v="CUST013"/>
    <x v="0"/>
    <x v="1"/>
    <n v="22"/>
    <x v="2"/>
    <n v="3"/>
    <n v="500"/>
    <n v="1500"/>
    <n v="22.5"/>
    <n v="30"/>
  </r>
  <r>
    <n v="14"/>
    <n v="17"/>
    <n v="1"/>
    <n v="2023"/>
    <s v="Tuesday"/>
    <s v="Jan"/>
    <d v="2023-01-17T00:00:00"/>
    <s v="CUST014"/>
    <x v="0"/>
    <x v="2"/>
    <n v="64"/>
    <x v="1"/>
    <n v="4"/>
    <n v="30"/>
    <n v="120"/>
    <n v="1.7999999999999998"/>
    <n v="2.4"/>
  </r>
  <r>
    <n v="15"/>
    <n v="16"/>
    <n v="1"/>
    <n v="2023"/>
    <s v="Monday"/>
    <s v="Jan"/>
    <d v="2023-01-16T00:00:00"/>
    <s v="CUST015"/>
    <x v="1"/>
    <x v="0"/>
    <n v="42"/>
    <x v="2"/>
    <n v="4"/>
    <n v="500"/>
    <n v="2000"/>
    <n v="30"/>
    <n v="40"/>
  </r>
  <r>
    <n v="16"/>
    <n v="17"/>
    <n v="2"/>
    <n v="2023"/>
    <s v="Friday"/>
    <s v="Feb"/>
    <d v="2023-02-17T00:00:00"/>
    <s v="CUST016"/>
    <x v="0"/>
    <x v="1"/>
    <n v="19"/>
    <x v="1"/>
    <n v="3"/>
    <n v="500"/>
    <n v="1500"/>
    <n v="22.5"/>
    <n v="30"/>
  </r>
  <r>
    <n v="17"/>
    <n v="22"/>
    <n v="4"/>
    <n v="2023"/>
    <s v="Saturday"/>
    <s v="Apr"/>
    <d v="2023-04-22T00:00:00"/>
    <s v="CUST017"/>
    <x v="1"/>
    <x v="1"/>
    <n v="27"/>
    <x v="1"/>
    <n v="4"/>
    <n v="25"/>
    <n v="100"/>
    <n v="1.5"/>
    <n v="2"/>
  </r>
  <r>
    <n v="18"/>
    <n v="30"/>
    <n v="4"/>
    <n v="2023"/>
    <s v="Sunday"/>
    <s v="Apr"/>
    <d v="2023-04-30T00:00:00"/>
    <s v="CUST018"/>
    <x v="1"/>
    <x v="0"/>
    <n v="47"/>
    <x v="2"/>
    <n v="2"/>
    <n v="25"/>
    <n v="50"/>
    <n v="0.75"/>
    <n v="1"/>
  </r>
  <r>
    <n v="19"/>
    <n v="16"/>
    <n v="9"/>
    <n v="2023"/>
    <s v="Saturday"/>
    <s v="Sep"/>
    <d v="2023-09-16T00:00:00"/>
    <s v="CUST019"/>
    <x v="1"/>
    <x v="2"/>
    <n v="62"/>
    <x v="1"/>
    <n v="2"/>
    <n v="25"/>
    <n v="50"/>
    <n v="0.75"/>
    <n v="1"/>
  </r>
  <r>
    <n v="20"/>
    <n v="5"/>
    <n v="11"/>
    <n v="2023"/>
    <s v="Sunday"/>
    <s v="Nov"/>
    <d v="2023-11-05T00:00:00"/>
    <s v="CUST020"/>
    <x v="0"/>
    <x v="1"/>
    <n v="22"/>
    <x v="1"/>
    <n v="3"/>
    <n v="300"/>
    <n v="900"/>
    <n v="13.5"/>
    <n v="18"/>
  </r>
  <r>
    <n v="21"/>
    <n v="14"/>
    <n v="1"/>
    <n v="2023"/>
    <s v="Saturday"/>
    <s v="Jan"/>
    <d v="2023-01-14T00:00:00"/>
    <s v="CUST021"/>
    <x v="1"/>
    <x v="0"/>
    <n v="50"/>
    <x v="0"/>
    <n v="1"/>
    <n v="500"/>
    <n v="500"/>
    <n v="7.5"/>
    <n v="10"/>
  </r>
  <r>
    <n v="22"/>
    <n v="15"/>
    <n v="10"/>
    <n v="2023"/>
    <s v="Sunday"/>
    <s v="Oct"/>
    <d v="2023-10-15T00:00:00"/>
    <s v="CUST022"/>
    <x v="0"/>
    <x v="1"/>
    <n v="18"/>
    <x v="1"/>
    <n v="2"/>
    <n v="50"/>
    <n v="100"/>
    <n v="1.5"/>
    <n v="2"/>
  </r>
  <r>
    <n v="23"/>
    <n v="12"/>
    <n v="4"/>
    <n v="2023"/>
    <s v="Wednesday"/>
    <s v="Apr"/>
    <d v="2023-04-12T00:00:00"/>
    <s v="CUST023"/>
    <x v="1"/>
    <x v="0"/>
    <n v="35"/>
    <x v="1"/>
    <n v="4"/>
    <n v="30"/>
    <n v="120"/>
    <n v="1.7999999999999998"/>
    <n v="2.4"/>
  </r>
  <r>
    <n v="24"/>
    <n v="29"/>
    <n v="11"/>
    <n v="2023"/>
    <s v="Wednesday"/>
    <s v="Nov"/>
    <d v="2023-11-29T00:00:00"/>
    <s v="CUST024"/>
    <x v="1"/>
    <x v="0"/>
    <n v="49"/>
    <x v="1"/>
    <n v="1"/>
    <n v="300"/>
    <n v="300"/>
    <n v="4.5"/>
    <n v="6"/>
  </r>
  <r>
    <n v="25"/>
    <n v="26"/>
    <n v="12"/>
    <n v="2023"/>
    <s v="Tuesday"/>
    <s v="Dec"/>
    <d v="2023-12-26T00:00:00"/>
    <s v="CUST025"/>
    <x v="1"/>
    <x v="2"/>
    <n v="64"/>
    <x v="0"/>
    <n v="1"/>
    <n v="50"/>
    <n v="50"/>
    <n v="0.75"/>
    <n v="1"/>
  </r>
  <r>
    <n v="26"/>
    <n v="7"/>
    <n v="10"/>
    <n v="2023"/>
    <s v="Saturday"/>
    <s v="Oct"/>
    <d v="2023-10-07T00:00:00"/>
    <s v="CUST026"/>
    <x v="1"/>
    <x v="1"/>
    <n v="28"/>
    <x v="2"/>
    <n v="2"/>
    <n v="500"/>
    <n v="1000"/>
    <n v="15"/>
    <n v="20"/>
  </r>
  <r>
    <n v="27"/>
    <n v="3"/>
    <n v="8"/>
    <n v="2023"/>
    <s v="Thursday"/>
    <s v="Aug"/>
    <d v="2023-08-03T00:00:00"/>
    <s v="CUST027"/>
    <x v="1"/>
    <x v="0"/>
    <n v="38"/>
    <x v="0"/>
    <n v="2"/>
    <n v="25"/>
    <n v="50"/>
    <n v="0.75"/>
    <n v="1"/>
  </r>
  <r>
    <n v="28"/>
    <n v="23"/>
    <n v="4"/>
    <n v="2023"/>
    <s v="Sunday"/>
    <s v="Apr"/>
    <d v="2023-04-23T00:00:00"/>
    <s v="CUST028"/>
    <x v="1"/>
    <x v="0"/>
    <n v="43"/>
    <x v="0"/>
    <n v="1"/>
    <n v="500"/>
    <n v="500"/>
    <n v="7.5"/>
    <n v="10"/>
  </r>
  <r>
    <n v="29"/>
    <n v="18"/>
    <n v="8"/>
    <n v="2023"/>
    <s v="Friday"/>
    <s v="Aug"/>
    <d v="2023-08-18T00:00:00"/>
    <s v="CUST029"/>
    <x v="1"/>
    <x v="0"/>
    <n v="42"/>
    <x v="2"/>
    <n v="1"/>
    <n v="30"/>
    <n v="30"/>
    <n v="0.44999999999999996"/>
    <n v="0.6"/>
  </r>
  <r>
    <n v="30"/>
    <n v="29"/>
    <n v="10"/>
    <n v="2023"/>
    <s v="Sunday"/>
    <s v="Oct"/>
    <d v="2023-10-29T00:00:00"/>
    <s v="CUST030"/>
    <x v="1"/>
    <x v="0"/>
    <n v="39"/>
    <x v="0"/>
    <n v="3"/>
    <n v="300"/>
    <n v="900"/>
    <n v="13.5"/>
    <n v="18"/>
  </r>
  <r>
    <n v="31"/>
    <n v="23"/>
    <n v="5"/>
    <n v="2023"/>
    <s v="Tuesday"/>
    <s v="May"/>
    <d v="2023-05-23T00:00:00"/>
    <s v="CUST031"/>
    <x v="0"/>
    <x v="0"/>
    <n v="44"/>
    <x v="2"/>
    <n v="4"/>
    <n v="300"/>
    <n v="1200"/>
    <n v="18"/>
    <n v="24"/>
  </r>
  <r>
    <n v="32"/>
    <n v="4"/>
    <n v="1"/>
    <n v="2023"/>
    <s v="Wednesday"/>
    <s v="Jan"/>
    <d v="2023-01-04T00:00:00"/>
    <s v="CUST032"/>
    <x v="0"/>
    <x v="0"/>
    <n v="30"/>
    <x v="0"/>
    <n v="3"/>
    <n v="30"/>
    <n v="90"/>
    <n v="1.3499999999999999"/>
    <n v="1.8"/>
  </r>
  <r>
    <n v="33"/>
    <n v="23"/>
    <n v="3"/>
    <n v="2023"/>
    <s v="Thursday"/>
    <s v="Mar"/>
    <d v="2023-03-23T00:00:00"/>
    <s v="CUST033"/>
    <x v="1"/>
    <x v="0"/>
    <n v="50"/>
    <x v="2"/>
    <n v="2"/>
    <n v="50"/>
    <n v="100"/>
    <n v="1.5"/>
    <n v="2"/>
  </r>
  <r>
    <n v="34"/>
    <n v="24"/>
    <n v="12"/>
    <n v="2023"/>
    <s v="Sunday"/>
    <s v="Dec"/>
    <d v="2023-12-24T00:00:00"/>
    <s v="CUST034"/>
    <x v="1"/>
    <x v="2"/>
    <n v="51"/>
    <x v="1"/>
    <n v="3"/>
    <n v="50"/>
    <n v="150"/>
    <n v="2.25"/>
    <n v="3"/>
  </r>
  <r>
    <n v="35"/>
    <n v="5"/>
    <n v="8"/>
    <n v="2023"/>
    <s v="Saturday"/>
    <s v="Aug"/>
    <d v="2023-08-05T00:00:00"/>
    <s v="CUST035"/>
    <x v="1"/>
    <x v="2"/>
    <n v="58"/>
    <x v="0"/>
    <n v="3"/>
    <n v="300"/>
    <n v="900"/>
    <n v="13.5"/>
    <n v="18"/>
  </r>
  <r>
    <n v="36"/>
    <n v="24"/>
    <n v="6"/>
    <n v="2023"/>
    <s v="Saturday"/>
    <s v="Jun"/>
    <d v="2023-06-24T00:00:00"/>
    <s v="CUST036"/>
    <x v="0"/>
    <x v="2"/>
    <n v="52"/>
    <x v="0"/>
    <n v="3"/>
    <n v="300"/>
    <n v="900"/>
    <n v="13.5"/>
    <n v="18"/>
  </r>
  <r>
    <n v="37"/>
    <n v="23"/>
    <n v="5"/>
    <n v="2023"/>
    <s v="Tuesday"/>
    <s v="May"/>
    <d v="2023-05-23T00:00:00"/>
    <s v="CUST037"/>
    <x v="1"/>
    <x v="1"/>
    <n v="18"/>
    <x v="0"/>
    <n v="3"/>
    <n v="25"/>
    <n v="75"/>
    <n v="1.125"/>
    <n v="1.5"/>
  </r>
  <r>
    <n v="38"/>
    <n v="21"/>
    <n v="3"/>
    <n v="2023"/>
    <s v="Tuesday"/>
    <s v="Mar"/>
    <d v="2023-03-21T00:00:00"/>
    <s v="CUST038"/>
    <x v="0"/>
    <x v="0"/>
    <n v="38"/>
    <x v="0"/>
    <n v="4"/>
    <n v="50"/>
    <n v="200"/>
    <n v="3"/>
    <n v="4"/>
  </r>
  <r>
    <n v="39"/>
    <n v="21"/>
    <n v="4"/>
    <n v="2023"/>
    <s v="Friday"/>
    <s v="Apr"/>
    <d v="2023-04-21T00:00:00"/>
    <s v="CUST039"/>
    <x v="0"/>
    <x v="1"/>
    <n v="23"/>
    <x v="1"/>
    <n v="4"/>
    <n v="30"/>
    <n v="120"/>
    <n v="1.7999999999999998"/>
    <n v="2.4"/>
  </r>
  <r>
    <n v="40"/>
    <n v="22"/>
    <n v="6"/>
    <n v="2023"/>
    <s v="Thursday"/>
    <s v="Jun"/>
    <d v="2023-06-22T00:00:00"/>
    <s v="CUST040"/>
    <x v="0"/>
    <x v="0"/>
    <n v="45"/>
    <x v="0"/>
    <n v="1"/>
    <n v="50"/>
    <n v="50"/>
    <n v="0.75"/>
    <n v="1"/>
  </r>
  <r>
    <n v="41"/>
    <n v="22"/>
    <n v="2"/>
    <n v="2023"/>
    <s v="Wednesday"/>
    <s v="Feb"/>
    <d v="2023-02-22T00:00:00"/>
    <s v="CUST041"/>
    <x v="0"/>
    <x v="0"/>
    <n v="34"/>
    <x v="1"/>
    <n v="2"/>
    <n v="25"/>
    <n v="50"/>
    <n v="0.75"/>
    <n v="1"/>
  </r>
  <r>
    <n v="42"/>
    <n v="17"/>
    <n v="2"/>
    <n v="2023"/>
    <s v="Friday"/>
    <s v="Feb"/>
    <d v="2023-02-17T00:00:00"/>
    <s v="CUST042"/>
    <x v="0"/>
    <x v="1"/>
    <n v="22"/>
    <x v="1"/>
    <n v="3"/>
    <n v="300"/>
    <n v="900"/>
    <n v="13.5"/>
    <n v="18"/>
  </r>
  <r>
    <n v="43"/>
    <n v="14"/>
    <n v="7"/>
    <n v="2023"/>
    <s v="Friday"/>
    <s v="Jul"/>
    <d v="2023-07-14T00:00:00"/>
    <s v="CUST043"/>
    <x v="1"/>
    <x v="0"/>
    <n v="48"/>
    <x v="1"/>
    <n v="1"/>
    <n v="300"/>
    <n v="300"/>
    <n v="4.5"/>
    <n v="6"/>
  </r>
  <r>
    <n v="44"/>
    <n v="19"/>
    <n v="2"/>
    <n v="2023"/>
    <s v="Sunday"/>
    <s v="Feb"/>
    <d v="2023-02-19T00:00:00"/>
    <s v="CUST044"/>
    <x v="1"/>
    <x v="1"/>
    <n v="22"/>
    <x v="1"/>
    <n v="1"/>
    <n v="25"/>
    <n v="25"/>
    <n v="0.375"/>
    <n v="0.5"/>
  </r>
  <r>
    <n v="45"/>
    <n v="3"/>
    <n v="7"/>
    <n v="2023"/>
    <s v="Monday"/>
    <s v="Jul"/>
    <d v="2023-07-03T00:00:00"/>
    <s v="CUST045"/>
    <x v="1"/>
    <x v="2"/>
    <n v="55"/>
    <x v="2"/>
    <n v="1"/>
    <n v="30"/>
    <n v="30"/>
    <n v="0.44999999999999996"/>
    <n v="0.6"/>
  </r>
  <r>
    <n v="46"/>
    <n v="26"/>
    <n v="6"/>
    <n v="2023"/>
    <s v="Monday"/>
    <s v="Jun"/>
    <d v="2023-06-26T00:00:00"/>
    <s v="CUST046"/>
    <x v="1"/>
    <x v="1"/>
    <n v="20"/>
    <x v="2"/>
    <n v="4"/>
    <n v="300"/>
    <n v="1200"/>
    <n v="18"/>
    <n v="24"/>
  </r>
  <r>
    <n v="47"/>
    <n v="6"/>
    <n v="11"/>
    <n v="2023"/>
    <s v="Monday"/>
    <s v="Nov"/>
    <d v="2023-11-06T00:00:00"/>
    <s v="CUST047"/>
    <x v="1"/>
    <x v="0"/>
    <n v="40"/>
    <x v="0"/>
    <n v="3"/>
    <n v="500"/>
    <n v="1500"/>
    <n v="22.5"/>
    <n v="30"/>
  </r>
  <r>
    <n v="48"/>
    <n v="16"/>
    <n v="5"/>
    <n v="2023"/>
    <s v="Tuesday"/>
    <s v="May"/>
    <d v="2023-05-16T00:00:00"/>
    <s v="CUST048"/>
    <x v="0"/>
    <x v="2"/>
    <n v="54"/>
    <x v="2"/>
    <n v="3"/>
    <n v="300"/>
    <n v="900"/>
    <n v="13.5"/>
    <n v="18"/>
  </r>
  <r>
    <n v="49"/>
    <n v="23"/>
    <n v="1"/>
    <n v="2023"/>
    <s v="Monday"/>
    <s v="Jan"/>
    <d v="2023-01-23T00:00:00"/>
    <s v="CUST049"/>
    <x v="1"/>
    <x v="2"/>
    <n v="54"/>
    <x v="2"/>
    <n v="2"/>
    <n v="500"/>
    <n v="1000"/>
    <n v="15"/>
    <n v="20"/>
  </r>
  <r>
    <n v="50"/>
    <n v="24"/>
    <n v="8"/>
    <n v="2023"/>
    <s v="Thursday"/>
    <s v="Aug"/>
    <d v="2023-08-24T00:00:00"/>
    <s v="CUST050"/>
    <x v="1"/>
    <x v="1"/>
    <n v="27"/>
    <x v="0"/>
    <n v="3"/>
    <n v="25"/>
    <n v="75"/>
    <n v="1.125"/>
    <n v="1.5"/>
  </r>
  <r>
    <n v="51"/>
    <n v="2"/>
    <n v="10"/>
    <n v="2023"/>
    <s v="Monday"/>
    <s v="Oct"/>
    <d v="2023-10-02T00:00:00"/>
    <s v="CUST051"/>
    <x v="0"/>
    <x v="1"/>
    <n v="27"/>
    <x v="0"/>
    <n v="3"/>
    <n v="25"/>
    <n v="75"/>
    <n v="1.125"/>
    <n v="1.5"/>
  </r>
  <r>
    <n v="52"/>
    <n v="5"/>
    <n v="3"/>
    <n v="2023"/>
    <s v="Sunday"/>
    <s v="Mar"/>
    <d v="2023-03-05T00:00:00"/>
    <s v="CUST052"/>
    <x v="1"/>
    <x v="0"/>
    <n v="36"/>
    <x v="0"/>
    <n v="1"/>
    <n v="300"/>
    <n v="300"/>
    <n v="4.5"/>
    <n v="6"/>
  </r>
  <r>
    <n v="53"/>
    <n v="13"/>
    <n v="7"/>
    <n v="2023"/>
    <s v="Thursday"/>
    <s v="Jul"/>
    <d v="2023-07-13T00:00:00"/>
    <s v="CUST053"/>
    <x v="0"/>
    <x v="0"/>
    <n v="34"/>
    <x v="2"/>
    <n v="2"/>
    <n v="50"/>
    <n v="100"/>
    <n v="1.5"/>
    <n v="2"/>
  </r>
  <r>
    <n v="54"/>
    <n v="10"/>
    <n v="2"/>
    <n v="2023"/>
    <s v="Friday"/>
    <s v="Feb"/>
    <d v="2023-02-10T00:00:00"/>
    <s v="CUST054"/>
    <x v="1"/>
    <x v="0"/>
    <n v="38"/>
    <x v="2"/>
    <n v="3"/>
    <n v="500"/>
    <n v="1500"/>
    <n v="22.5"/>
    <n v="30"/>
  </r>
  <r>
    <n v="55"/>
    <n v="10"/>
    <n v="10"/>
    <n v="2023"/>
    <s v="Tuesday"/>
    <s v="Oct"/>
    <d v="2023-10-10T00:00:00"/>
    <s v="CUST055"/>
    <x v="0"/>
    <x v="0"/>
    <n v="31"/>
    <x v="0"/>
    <n v="4"/>
    <n v="30"/>
    <n v="120"/>
    <n v="1.7999999999999998"/>
    <n v="2.4"/>
  </r>
  <r>
    <n v="56"/>
    <n v="31"/>
    <n v="5"/>
    <n v="2023"/>
    <s v="Wednesday"/>
    <s v="May"/>
    <d v="2023-05-31T00:00:00"/>
    <s v="CUST056"/>
    <x v="1"/>
    <x v="1"/>
    <n v="26"/>
    <x v="1"/>
    <n v="3"/>
    <n v="300"/>
    <n v="900"/>
    <n v="13.5"/>
    <n v="18"/>
  </r>
  <r>
    <n v="57"/>
    <n v="18"/>
    <n v="11"/>
    <n v="2023"/>
    <s v="Saturday"/>
    <s v="Nov"/>
    <d v="2023-11-18T00:00:00"/>
    <s v="CUST057"/>
    <x v="1"/>
    <x v="2"/>
    <n v="63"/>
    <x v="0"/>
    <n v="1"/>
    <n v="30"/>
    <n v="30"/>
    <n v="0.44999999999999996"/>
    <n v="0.6"/>
  </r>
  <r>
    <n v="58"/>
    <n v="13"/>
    <n v="11"/>
    <n v="2023"/>
    <s v="Monday"/>
    <s v="Nov"/>
    <d v="2023-11-13T00:00:00"/>
    <s v="CUST058"/>
    <x v="0"/>
    <x v="1"/>
    <n v="18"/>
    <x v="1"/>
    <n v="4"/>
    <n v="300"/>
    <n v="1200"/>
    <n v="18"/>
    <n v="24"/>
  </r>
  <r>
    <n v="59"/>
    <n v="5"/>
    <n v="7"/>
    <n v="2023"/>
    <s v="Wednesday"/>
    <s v="Jul"/>
    <d v="2023-07-05T00:00:00"/>
    <s v="CUST059"/>
    <x v="0"/>
    <x v="2"/>
    <n v="62"/>
    <x v="1"/>
    <n v="1"/>
    <n v="50"/>
    <n v="50"/>
    <n v="0.75"/>
    <n v="1"/>
  </r>
  <r>
    <n v="60"/>
    <n v="23"/>
    <n v="10"/>
    <n v="2023"/>
    <s v="Monday"/>
    <s v="Oct"/>
    <d v="2023-10-23T00:00:00"/>
    <s v="CUST060"/>
    <x v="0"/>
    <x v="0"/>
    <n v="30"/>
    <x v="0"/>
    <n v="3"/>
    <n v="50"/>
    <n v="150"/>
    <n v="2.25"/>
    <n v="3"/>
  </r>
  <r>
    <n v="61"/>
    <n v="9"/>
    <n v="4"/>
    <n v="2023"/>
    <s v="Sunday"/>
    <s v="Apr"/>
    <d v="2023-04-09T00:00:00"/>
    <s v="CUST061"/>
    <x v="0"/>
    <x v="1"/>
    <n v="21"/>
    <x v="0"/>
    <n v="4"/>
    <n v="50"/>
    <n v="200"/>
    <n v="3"/>
    <n v="4"/>
  </r>
  <r>
    <n v="62"/>
    <n v="27"/>
    <n v="12"/>
    <n v="2023"/>
    <s v="Wednesday"/>
    <s v="Dec"/>
    <d v="2023-12-27T00:00:00"/>
    <s v="CUST062"/>
    <x v="0"/>
    <x v="1"/>
    <n v="18"/>
    <x v="0"/>
    <n v="2"/>
    <n v="50"/>
    <n v="100"/>
    <n v="1.5"/>
    <n v="2"/>
  </r>
  <r>
    <n v="63"/>
    <n v="5"/>
    <n v="2"/>
    <n v="2023"/>
    <s v="Sunday"/>
    <s v="Feb"/>
    <d v="2023-02-05T00:00:00"/>
    <s v="CUST063"/>
    <x v="0"/>
    <x v="2"/>
    <n v="57"/>
    <x v="2"/>
    <n v="2"/>
    <n v="25"/>
    <n v="50"/>
    <n v="0.75"/>
    <n v="1"/>
  </r>
  <r>
    <n v="64"/>
    <n v="24"/>
    <n v="1"/>
    <n v="2023"/>
    <s v="Tuesday"/>
    <s v="Jan"/>
    <d v="2023-01-24T00:00:00"/>
    <s v="CUST064"/>
    <x v="0"/>
    <x v="0"/>
    <n v="49"/>
    <x v="1"/>
    <n v="4"/>
    <n v="25"/>
    <n v="100"/>
    <n v="1.5"/>
    <n v="2"/>
  </r>
  <r>
    <n v="65"/>
    <n v="5"/>
    <n v="12"/>
    <n v="2023"/>
    <s v="Tuesday"/>
    <s v="Dec"/>
    <d v="2023-12-05T00:00:00"/>
    <s v="CUST065"/>
    <x v="0"/>
    <x v="2"/>
    <n v="51"/>
    <x v="2"/>
    <n v="4"/>
    <n v="500"/>
    <n v="2000"/>
    <n v="30"/>
    <n v="40"/>
  </r>
  <r>
    <n v="66"/>
    <n v="27"/>
    <n v="4"/>
    <n v="2023"/>
    <s v="Thursday"/>
    <s v="Apr"/>
    <d v="2023-04-27T00:00:00"/>
    <s v="CUST066"/>
    <x v="1"/>
    <x v="0"/>
    <n v="45"/>
    <x v="2"/>
    <n v="1"/>
    <n v="30"/>
    <n v="30"/>
    <n v="0.44999999999999996"/>
    <n v="0.6"/>
  </r>
  <r>
    <n v="67"/>
    <n v="29"/>
    <n v="5"/>
    <n v="2023"/>
    <s v="Monday"/>
    <s v="May"/>
    <d v="2023-05-29T00:00:00"/>
    <s v="CUST067"/>
    <x v="1"/>
    <x v="0"/>
    <n v="48"/>
    <x v="0"/>
    <n v="4"/>
    <n v="300"/>
    <n v="1200"/>
    <n v="18"/>
    <n v="24"/>
  </r>
  <r>
    <n v="68"/>
    <n v="10"/>
    <n v="2"/>
    <n v="2023"/>
    <s v="Friday"/>
    <s v="Feb"/>
    <d v="2023-02-10T00:00:00"/>
    <s v="CUST068"/>
    <x v="0"/>
    <x v="1"/>
    <n v="25"/>
    <x v="2"/>
    <n v="1"/>
    <n v="300"/>
    <n v="300"/>
    <n v="4.5"/>
    <n v="6"/>
  </r>
  <r>
    <n v="69"/>
    <n v="30"/>
    <n v="4"/>
    <n v="2023"/>
    <s v="Sunday"/>
    <s v="Apr"/>
    <d v="2023-04-30T00:00:00"/>
    <s v="CUST069"/>
    <x v="1"/>
    <x v="2"/>
    <n v="56"/>
    <x v="0"/>
    <n v="3"/>
    <n v="25"/>
    <n v="75"/>
    <n v="1.125"/>
    <n v="1.5"/>
  </r>
  <r>
    <n v="70"/>
    <n v="21"/>
    <n v="2"/>
    <n v="2023"/>
    <s v="Tuesday"/>
    <s v="Feb"/>
    <d v="2023-02-21T00:00:00"/>
    <s v="CUST070"/>
    <x v="1"/>
    <x v="0"/>
    <n v="43"/>
    <x v="1"/>
    <n v="1"/>
    <n v="300"/>
    <n v="300"/>
    <n v="4.5"/>
    <n v="6"/>
  </r>
  <r>
    <n v="71"/>
    <n v="14"/>
    <n v="7"/>
    <n v="2023"/>
    <s v="Friday"/>
    <s v="Jul"/>
    <d v="2023-07-14T00:00:00"/>
    <s v="CUST071"/>
    <x v="1"/>
    <x v="2"/>
    <n v="51"/>
    <x v="0"/>
    <n v="4"/>
    <n v="25"/>
    <n v="100"/>
    <n v="1.5"/>
    <n v="2"/>
  </r>
  <r>
    <n v="72"/>
    <n v="23"/>
    <n v="5"/>
    <n v="2023"/>
    <s v="Tuesday"/>
    <s v="May"/>
    <d v="2023-05-23T00:00:00"/>
    <s v="CUST072"/>
    <x v="1"/>
    <x v="1"/>
    <n v="20"/>
    <x v="2"/>
    <n v="4"/>
    <n v="500"/>
    <n v="2000"/>
    <n v="30"/>
    <n v="40"/>
  </r>
  <r>
    <n v="73"/>
    <n v="21"/>
    <n v="8"/>
    <n v="2023"/>
    <s v="Monday"/>
    <s v="Aug"/>
    <d v="2023-08-21T00:00:00"/>
    <s v="CUST073"/>
    <x v="0"/>
    <x v="1"/>
    <n v="29"/>
    <x v="2"/>
    <n v="3"/>
    <n v="30"/>
    <n v="90"/>
    <n v="1.3499999999999999"/>
    <n v="1.8"/>
  </r>
  <r>
    <n v="74"/>
    <n v="22"/>
    <n v="11"/>
    <n v="2023"/>
    <s v="Wednesday"/>
    <s v="Nov"/>
    <d v="2023-11-22T00:00:00"/>
    <s v="CUST074"/>
    <x v="1"/>
    <x v="1"/>
    <n v="18"/>
    <x v="0"/>
    <n v="4"/>
    <n v="500"/>
    <n v="2000"/>
    <n v="30"/>
    <n v="40"/>
  </r>
  <r>
    <n v="75"/>
    <n v="6"/>
    <n v="7"/>
    <n v="2023"/>
    <s v="Thursday"/>
    <s v="Jul"/>
    <d v="2023-07-06T00:00:00"/>
    <s v="CUST075"/>
    <x v="0"/>
    <x v="2"/>
    <n v="61"/>
    <x v="0"/>
    <n v="4"/>
    <n v="50"/>
    <n v="200"/>
    <n v="3"/>
    <n v="4"/>
  </r>
  <r>
    <n v="76"/>
    <n v="25"/>
    <n v="3"/>
    <n v="2023"/>
    <s v="Saturday"/>
    <s v="Mar"/>
    <d v="2023-03-25T00:00:00"/>
    <s v="CUST076"/>
    <x v="1"/>
    <x v="1"/>
    <n v="22"/>
    <x v="2"/>
    <n v="2"/>
    <n v="50"/>
    <n v="100"/>
    <n v="1.5"/>
    <n v="2"/>
  </r>
  <r>
    <n v="77"/>
    <n v="9"/>
    <n v="7"/>
    <n v="2023"/>
    <s v="Sunday"/>
    <s v="Jul"/>
    <d v="2023-07-09T00:00:00"/>
    <s v="CUST077"/>
    <x v="1"/>
    <x v="0"/>
    <n v="47"/>
    <x v="1"/>
    <n v="2"/>
    <n v="50"/>
    <n v="100"/>
    <n v="1.5"/>
    <n v="2"/>
  </r>
  <r>
    <n v="78"/>
    <n v="1"/>
    <n v="7"/>
    <n v="2023"/>
    <s v="Saturday"/>
    <s v="Jul"/>
    <d v="2023-07-01T00:00:00"/>
    <s v="CUST078"/>
    <x v="1"/>
    <x v="0"/>
    <n v="47"/>
    <x v="1"/>
    <n v="3"/>
    <n v="500"/>
    <n v="1500"/>
    <n v="22.5"/>
    <n v="30"/>
  </r>
  <r>
    <n v="79"/>
    <n v="18"/>
    <n v="4"/>
    <n v="2023"/>
    <s v="Tuesday"/>
    <s v="Apr"/>
    <d v="2023-04-18T00:00:00"/>
    <s v="CUST079"/>
    <x v="0"/>
    <x v="0"/>
    <n v="34"/>
    <x v="0"/>
    <n v="1"/>
    <n v="300"/>
    <n v="300"/>
    <n v="4.5"/>
    <n v="6"/>
  </r>
  <r>
    <n v="80"/>
    <n v="10"/>
    <n v="12"/>
    <n v="2023"/>
    <s v="Sunday"/>
    <s v="Dec"/>
    <d v="2023-12-10T00:00:00"/>
    <s v="CUST080"/>
    <x v="1"/>
    <x v="2"/>
    <n v="64"/>
    <x v="1"/>
    <n v="2"/>
    <n v="30"/>
    <n v="60"/>
    <n v="0.89999999999999991"/>
    <n v="1.2"/>
  </r>
  <r>
    <n v="81"/>
    <n v="17"/>
    <n v="5"/>
    <n v="2023"/>
    <s v="Wednesday"/>
    <s v="May"/>
    <d v="2023-05-17T00:00:00"/>
    <s v="CUST081"/>
    <x v="0"/>
    <x v="0"/>
    <n v="40"/>
    <x v="2"/>
    <n v="1"/>
    <n v="50"/>
    <n v="50"/>
    <n v="0.75"/>
    <n v="1"/>
  </r>
  <r>
    <n v="82"/>
    <n v="26"/>
    <n v="12"/>
    <n v="2023"/>
    <s v="Tuesday"/>
    <s v="Dec"/>
    <d v="2023-12-26T00:00:00"/>
    <s v="CUST082"/>
    <x v="1"/>
    <x v="0"/>
    <n v="32"/>
    <x v="0"/>
    <n v="4"/>
    <n v="50"/>
    <n v="200"/>
    <n v="3"/>
    <n v="4"/>
  </r>
  <r>
    <n v="83"/>
    <n v="16"/>
    <n v="12"/>
    <n v="2023"/>
    <s v="Saturday"/>
    <s v="Dec"/>
    <d v="2023-12-16T00:00:00"/>
    <s v="CUST083"/>
    <x v="0"/>
    <x v="2"/>
    <n v="54"/>
    <x v="2"/>
    <n v="2"/>
    <n v="50"/>
    <n v="100"/>
    <n v="1.5"/>
    <n v="2"/>
  </r>
  <r>
    <n v="84"/>
    <n v="28"/>
    <n v="11"/>
    <n v="2023"/>
    <s v="Tuesday"/>
    <s v="Nov"/>
    <d v="2023-11-28T00:00:00"/>
    <s v="CUST084"/>
    <x v="1"/>
    <x v="0"/>
    <n v="38"/>
    <x v="2"/>
    <n v="3"/>
    <n v="30"/>
    <n v="90"/>
    <n v="1.3499999999999999"/>
    <n v="1.8"/>
  </r>
  <r>
    <n v="85"/>
    <n v="6"/>
    <n v="2"/>
    <n v="2023"/>
    <s v="Monday"/>
    <s v="Feb"/>
    <d v="2023-02-06T00:00:00"/>
    <s v="CUST085"/>
    <x v="0"/>
    <x v="0"/>
    <n v="31"/>
    <x v="1"/>
    <n v="3"/>
    <n v="50"/>
    <n v="150"/>
    <n v="2.25"/>
    <n v="3"/>
  </r>
  <r>
    <n v="86"/>
    <n v="8"/>
    <n v="11"/>
    <n v="2023"/>
    <s v="Wednesday"/>
    <s v="Nov"/>
    <d v="2023-11-08T00:00:00"/>
    <s v="CUST086"/>
    <x v="0"/>
    <x v="1"/>
    <n v="19"/>
    <x v="0"/>
    <n v="3"/>
    <n v="30"/>
    <n v="90"/>
    <n v="1.3499999999999999"/>
    <n v="1.8"/>
  </r>
  <r>
    <n v="87"/>
    <n v="22"/>
    <n v="11"/>
    <n v="2023"/>
    <s v="Wednesday"/>
    <s v="Nov"/>
    <d v="2023-11-22T00:00:00"/>
    <s v="CUST087"/>
    <x v="1"/>
    <x v="1"/>
    <n v="28"/>
    <x v="0"/>
    <n v="2"/>
    <n v="50"/>
    <n v="100"/>
    <n v="1.5"/>
    <n v="2"/>
  </r>
  <r>
    <n v="88"/>
    <n v="29"/>
    <n v="3"/>
    <n v="2023"/>
    <s v="Wednesday"/>
    <s v="Mar"/>
    <d v="2023-03-29T00:00:00"/>
    <s v="CUST088"/>
    <x v="0"/>
    <x v="2"/>
    <n v="56"/>
    <x v="1"/>
    <n v="1"/>
    <n v="500"/>
    <n v="500"/>
    <n v="7.5"/>
    <n v="10"/>
  </r>
  <r>
    <n v="89"/>
    <n v="1"/>
    <n v="10"/>
    <n v="2023"/>
    <s v="Sunday"/>
    <s v="Oct"/>
    <d v="2023-10-01T00:00:00"/>
    <s v="CUST089"/>
    <x v="1"/>
    <x v="2"/>
    <n v="55"/>
    <x v="2"/>
    <n v="4"/>
    <n v="500"/>
    <n v="2000"/>
    <n v="30"/>
    <n v="40"/>
  </r>
  <r>
    <n v="90"/>
    <n v="6"/>
    <n v="5"/>
    <n v="2023"/>
    <s v="Saturday"/>
    <s v="May"/>
    <d v="2023-05-06T00:00:00"/>
    <s v="CUST090"/>
    <x v="1"/>
    <x v="2"/>
    <n v="51"/>
    <x v="2"/>
    <n v="1"/>
    <n v="30"/>
    <n v="30"/>
    <n v="0.44999999999999996"/>
    <n v="0.6"/>
  </r>
  <r>
    <n v="91"/>
    <n v="25"/>
    <n v="3"/>
    <n v="2023"/>
    <s v="Saturday"/>
    <s v="Mar"/>
    <d v="2023-03-25T00:00:00"/>
    <s v="CUST091"/>
    <x v="1"/>
    <x v="2"/>
    <n v="55"/>
    <x v="2"/>
    <n v="1"/>
    <n v="500"/>
    <n v="500"/>
    <n v="7.5"/>
    <n v="10"/>
  </r>
  <r>
    <n v="92"/>
    <n v="25"/>
    <n v="8"/>
    <n v="2023"/>
    <s v="Friday"/>
    <s v="Aug"/>
    <d v="2023-08-25T00:00:00"/>
    <s v="CUST092"/>
    <x v="1"/>
    <x v="2"/>
    <n v="51"/>
    <x v="2"/>
    <n v="4"/>
    <n v="30"/>
    <n v="120"/>
    <n v="1.7999999999999998"/>
    <n v="2.4"/>
  </r>
  <r>
    <n v="93"/>
    <n v="14"/>
    <n v="7"/>
    <n v="2023"/>
    <s v="Friday"/>
    <s v="Jul"/>
    <d v="2023-07-14T00:00:00"/>
    <s v="CUST093"/>
    <x v="1"/>
    <x v="0"/>
    <n v="35"/>
    <x v="0"/>
    <n v="4"/>
    <n v="500"/>
    <n v="2000"/>
    <n v="30"/>
    <n v="40"/>
  </r>
  <r>
    <n v="94"/>
    <n v="19"/>
    <n v="5"/>
    <n v="2023"/>
    <s v="Friday"/>
    <s v="May"/>
    <d v="2023-05-19T00:00:00"/>
    <s v="CUST094"/>
    <x v="1"/>
    <x v="0"/>
    <n v="47"/>
    <x v="0"/>
    <n v="2"/>
    <n v="500"/>
    <n v="1000"/>
    <n v="15"/>
    <n v="20"/>
  </r>
  <r>
    <n v="95"/>
    <n v="24"/>
    <n v="11"/>
    <n v="2023"/>
    <s v="Friday"/>
    <s v="Nov"/>
    <d v="2023-11-24T00:00:00"/>
    <s v="CUST095"/>
    <x v="1"/>
    <x v="0"/>
    <n v="32"/>
    <x v="1"/>
    <n v="2"/>
    <n v="30"/>
    <n v="60"/>
    <n v="0.89999999999999991"/>
    <n v="1.2"/>
  </r>
  <r>
    <n v="96"/>
    <n v="19"/>
    <n v="12"/>
    <n v="2023"/>
    <s v="Tuesday"/>
    <s v="Dec"/>
    <d v="2023-12-19T00:00:00"/>
    <s v="CUST096"/>
    <x v="1"/>
    <x v="0"/>
    <n v="44"/>
    <x v="1"/>
    <n v="2"/>
    <n v="300"/>
    <n v="600"/>
    <n v="9"/>
    <n v="12"/>
  </r>
  <r>
    <n v="97"/>
    <n v="13"/>
    <n v="10"/>
    <n v="2023"/>
    <s v="Friday"/>
    <s v="Oct"/>
    <d v="2023-10-13T00:00:00"/>
    <s v="CUST097"/>
    <x v="1"/>
    <x v="2"/>
    <n v="51"/>
    <x v="0"/>
    <n v="2"/>
    <n v="500"/>
    <n v="1000"/>
    <n v="15"/>
    <n v="20"/>
  </r>
  <r>
    <n v="98"/>
    <n v="23"/>
    <n v="4"/>
    <n v="2023"/>
    <s v="Sunday"/>
    <s v="Apr"/>
    <d v="2023-04-23T00:00:00"/>
    <s v="CUST098"/>
    <x v="1"/>
    <x v="2"/>
    <n v="55"/>
    <x v="0"/>
    <n v="2"/>
    <n v="50"/>
    <n v="100"/>
    <n v="1.5"/>
    <n v="2"/>
  </r>
  <r>
    <n v="99"/>
    <n v="17"/>
    <n v="12"/>
    <n v="2023"/>
    <s v="Sunday"/>
    <s v="Dec"/>
    <d v="2023-12-17T00:00:00"/>
    <s v="CUST099"/>
    <x v="1"/>
    <x v="0"/>
    <n v="50"/>
    <x v="2"/>
    <n v="4"/>
    <n v="300"/>
    <n v="1200"/>
    <n v="18"/>
    <n v="24"/>
  </r>
  <r>
    <n v="100"/>
    <n v="16"/>
    <n v="6"/>
    <n v="2023"/>
    <s v="Friday"/>
    <s v="Jun"/>
    <d v="2023-06-16T00:00:00"/>
    <s v="CUST100"/>
    <x v="0"/>
    <x v="0"/>
    <n v="41"/>
    <x v="2"/>
    <n v="1"/>
    <n v="30"/>
    <n v="30"/>
    <n v="0.44999999999999996"/>
    <n v="0.6"/>
  </r>
  <r>
    <n v="101"/>
    <n v="29"/>
    <n v="1"/>
    <n v="2023"/>
    <s v="Sunday"/>
    <s v="Jan"/>
    <d v="2023-01-29T00:00:00"/>
    <s v="CUST101"/>
    <x v="0"/>
    <x v="0"/>
    <n v="32"/>
    <x v="1"/>
    <n v="2"/>
    <n v="300"/>
    <n v="600"/>
    <n v="9"/>
    <n v="12"/>
  </r>
  <r>
    <n v="102"/>
    <n v="28"/>
    <n v="4"/>
    <n v="2023"/>
    <s v="Friday"/>
    <s v="Apr"/>
    <d v="2023-04-28T00:00:00"/>
    <s v="CUST102"/>
    <x v="1"/>
    <x v="0"/>
    <n v="47"/>
    <x v="0"/>
    <n v="2"/>
    <n v="25"/>
    <n v="50"/>
    <n v="0.75"/>
    <n v="1"/>
  </r>
  <r>
    <n v="103"/>
    <n v="17"/>
    <n v="1"/>
    <n v="2023"/>
    <s v="Tuesday"/>
    <s v="Jan"/>
    <d v="2023-01-17T00:00:00"/>
    <s v="CUST103"/>
    <x v="1"/>
    <x v="2"/>
    <n v="59"/>
    <x v="1"/>
    <n v="1"/>
    <n v="25"/>
    <n v="25"/>
    <n v="0.375"/>
    <n v="0.5"/>
  </r>
  <r>
    <n v="104"/>
    <n v="11"/>
    <n v="6"/>
    <n v="2023"/>
    <s v="Sunday"/>
    <s v="Jun"/>
    <d v="2023-06-11T00:00:00"/>
    <s v="CUST104"/>
    <x v="1"/>
    <x v="0"/>
    <n v="34"/>
    <x v="0"/>
    <n v="2"/>
    <n v="500"/>
    <n v="1000"/>
    <n v="15"/>
    <n v="20"/>
  </r>
  <r>
    <n v="105"/>
    <n v="25"/>
    <n v="7"/>
    <n v="2023"/>
    <s v="Tuesday"/>
    <s v="Jul"/>
    <d v="2023-07-25T00:00:00"/>
    <s v="CUST105"/>
    <x v="1"/>
    <x v="1"/>
    <n v="22"/>
    <x v="2"/>
    <n v="1"/>
    <n v="500"/>
    <n v="500"/>
    <n v="7.5"/>
    <n v="10"/>
  </r>
  <r>
    <n v="106"/>
    <n v="18"/>
    <n v="5"/>
    <n v="2023"/>
    <s v="Thursday"/>
    <s v="May"/>
    <d v="2023-05-18T00:00:00"/>
    <s v="CUST106"/>
    <x v="1"/>
    <x v="0"/>
    <n v="46"/>
    <x v="1"/>
    <n v="1"/>
    <n v="50"/>
    <n v="50"/>
    <n v="0.75"/>
    <n v="1"/>
  </r>
  <r>
    <n v="107"/>
    <n v="3"/>
    <n v="2"/>
    <n v="2023"/>
    <s v="Friday"/>
    <s v="Feb"/>
    <d v="2023-02-03T00:00:00"/>
    <s v="CUST107"/>
    <x v="1"/>
    <x v="1"/>
    <n v="21"/>
    <x v="1"/>
    <n v="4"/>
    <n v="300"/>
    <n v="1200"/>
    <n v="18"/>
    <n v="24"/>
  </r>
  <r>
    <n v="108"/>
    <n v="19"/>
    <n v="4"/>
    <n v="2023"/>
    <s v="Wednesday"/>
    <s v="Apr"/>
    <d v="2023-04-19T00:00:00"/>
    <s v="CUST108"/>
    <x v="1"/>
    <x v="1"/>
    <n v="27"/>
    <x v="0"/>
    <n v="3"/>
    <n v="25"/>
    <n v="75"/>
    <n v="1.125"/>
    <n v="1.5"/>
  </r>
  <r>
    <n v="109"/>
    <n v="18"/>
    <n v="10"/>
    <n v="2023"/>
    <s v="Wednesday"/>
    <s v="Oct"/>
    <d v="2023-10-18T00:00:00"/>
    <s v="CUST109"/>
    <x v="1"/>
    <x v="0"/>
    <n v="34"/>
    <x v="2"/>
    <n v="4"/>
    <n v="500"/>
    <n v="2000"/>
    <n v="30"/>
    <n v="40"/>
  </r>
  <r>
    <n v="110"/>
    <n v="11"/>
    <n v="6"/>
    <n v="2023"/>
    <s v="Sunday"/>
    <s v="Jun"/>
    <d v="2023-06-11T00:00:00"/>
    <s v="CUST110"/>
    <x v="0"/>
    <x v="1"/>
    <n v="27"/>
    <x v="1"/>
    <n v="3"/>
    <n v="300"/>
    <n v="900"/>
    <n v="13.5"/>
    <n v="18"/>
  </r>
  <r>
    <n v="111"/>
    <n v="19"/>
    <n v="4"/>
    <n v="2023"/>
    <s v="Wednesday"/>
    <s v="Apr"/>
    <d v="2023-04-19T00:00:00"/>
    <s v="CUST111"/>
    <x v="1"/>
    <x v="0"/>
    <n v="34"/>
    <x v="2"/>
    <n v="3"/>
    <n v="500"/>
    <n v="1500"/>
    <n v="22.5"/>
    <n v="30"/>
  </r>
  <r>
    <n v="112"/>
    <n v="2"/>
    <n v="12"/>
    <n v="2023"/>
    <s v="Saturday"/>
    <s v="Dec"/>
    <d v="2023-12-02T00:00:00"/>
    <s v="CUST112"/>
    <x v="0"/>
    <x v="0"/>
    <n v="37"/>
    <x v="1"/>
    <n v="3"/>
    <n v="500"/>
    <n v="1500"/>
    <n v="22.5"/>
    <n v="30"/>
  </r>
  <r>
    <n v="113"/>
    <n v="13"/>
    <n v="9"/>
    <n v="2023"/>
    <s v="Wednesday"/>
    <s v="Sep"/>
    <d v="2023-09-13T00:00:00"/>
    <s v="CUST113"/>
    <x v="1"/>
    <x v="0"/>
    <n v="41"/>
    <x v="2"/>
    <n v="2"/>
    <n v="25"/>
    <n v="50"/>
    <n v="0.75"/>
    <n v="1"/>
  </r>
  <r>
    <n v="114"/>
    <n v="22"/>
    <n v="7"/>
    <n v="2023"/>
    <s v="Saturday"/>
    <s v="Jul"/>
    <d v="2023-07-22T00:00:00"/>
    <s v="CUST114"/>
    <x v="1"/>
    <x v="1"/>
    <n v="22"/>
    <x v="0"/>
    <n v="4"/>
    <n v="25"/>
    <n v="100"/>
    <n v="1.5"/>
    <n v="2"/>
  </r>
  <r>
    <n v="115"/>
    <n v="26"/>
    <n v="11"/>
    <n v="2023"/>
    <s v="Sunday"/>
    <s v="Nov"/>
    <d v="2023-11-26T00:00:00"/>
    <s v="CUST115"/>
    <x v="0"/>
    <x v="2"/>
    <n v="51"/>
    <x v="1"/>
    <n v="3"/>
    <n v="500"/>
    <n v="1500"/>
    <n v="22.5"/>
    <n v="30"/>
  </r>
  <r>
    <n v="116"/>
    <n v="23"/>
    <n v="8"/>
    <n v="2023"/>
    <s v="Wednesday"/>
    <s v="Aug"/>
    <d v="2023-08-23T00:00:00"/>
    <s v="CUST116"/>
    <x v="1"/>
    <x v="1"/>
    <n v="23"/>
    <x v="1"/>
    <n v="1"/>
    <n v="30"/>
    <n v="30"/>
    <n v="0.44999999999999996"/>
    <n v="0.6"/>
  </r>
  <r>
    <n v="117"/>
    <n v="15"/>
    <n v="3"/>
    <n v="2023"/>
    <s v="Wednesday"/>
    <s v="Mar"/>
    <d v="2023-03-15T00:00:00"/>
    <s v="CUST117"/>
    <x v="0"/>
    <x v="1"/>
    <n v="19"/>
    <x v="2"/>
    <n v="2"/>
    <n v="500"/>
    <n v="1000"/>
    <n v="15"/>
    <n v="20"/>
  </r>
  <r>
    <n v="118"/>
    <n v="16"/>
    <n v="5"/>
    <n v="2023"/>
    <s v="Tuesday"/>
    <s v="May"/>
    <d v="2023-05-16T00:00:00"/>
    <s v="CUST118"/>
    <x v="1"/>
    <x v="0"/>
    <n v="30"/>
    <x v="2"/>
    <n v="4"/>
    <n v="500"/>
    <n v="2000"/>
    <n v="30"/>
    <n v="40"/>
  </r>
  <r>
    <n v="119"/>
    <n v="13"/>
    <n v="3"/>
    <n v="2023"/>
    <s v="Monday"/>
    <s v="Mar"/>
    <d v="2023-03-13T00:00:00"/>
    <s v="CUST119"/>
    <x v="1"/>
    <x v="2"/>
    <n v="60"/>
    <x v="1"/>
    <n v="3"/>
    <n v="50"/>
    <n v="150"/>
    <n v="2.25"/>
    <n v="3"/>
  </r>
  <r>
    <n v="120"/>
    <n v="7"/>
    <n v="5"/>
    <n v="2023"/>
    <s v="Sunday"/>
    <s v="May"/>
    <d v="2023-05-07T00:00:00"/>
    <s v="CUST120"/>
    <x v="0"/>
    <x v="2"/>
    <n v="60"/>
    <x v="0"/>
    <n v="1"/>
    <n v="50"/>
    <n v="50"/>
    <n v="0.75"/>
    <n v="1"/>
  </r>
  <r>
    <n v="121"/>
    <n v="15"/>
    <n v="10"/>
    <n v="2023"/>
    <s v="Sunday"/>
    <s v="Oct"/>
    <d v="2023-10-15T00:00:00"/>
    <s v="CUST121"/>
    <x v="1"/>
    <x v="1"/>
    <n v="28"/>
    <x v="2"/>
    <n v="4"/>
    <n v="50"/>
    <n v="200"/>
    <n v="3"/>
    <n v="4"/>
  </r>
  <r>
    <n v="122"/>
    <n v="3"/>
    <n v="10"/>
    <n v="2023"/>
    <s v="Tuesday"/>
    <s v="Oct"/>
    <d v="2023-10-03T00:00:00"/>
    <s v="CUST122"/>
    <x v="0"/>
    <x v="2"/>
    <n v="64"/>
    <x v="2"/>
    <n v="4"/>
    <n v="30"/>
    <n v="120"/>
    <n v="1.7999999999999998"/>
    <n v="2.4"/>
  </r>
  <r>
    <n v="123"/>
    <n v="15"/>
    <n v="5"/>
    <n v="2023"/>
    <s v="Monday"/>
    <s v="May"/>
    <d v="2023-05-15T00:00:00"/>
    <s v="CUST123"/>
    <x v="1"/>
    <x v="0"/>
    <n v="40"/>
    <x v="2"/>
    <n v="2"/>
    <n v="30"/>
    <n v="60"/>
    <n v="0.89999999999999991"/>
    <n v="1.2"/>
  </r>
  <r>
    <n v="124"/>
    <n v="27"/>
    <n v="10"/>
    <n v="2023"/>
    <s v="Friday"/>
    <s v="Oct"/>
    <d v="2023-10-27T00:00:00"/>
    <s v="CUST124"/>
    <x v="0"/>
    <x v="0"/>
    <n v="33"/>
    <x v="1"/>
    <n v="4"/>
    <n v="500"/>
    <n v="2000"/>
    <n v="30"/>
    <n v="40"/>
  </r>
  <r>
    <n v="125"/>
    <n v="8"/>
    <n v="8"/>
    <n v="2023"/>
    <s v="Tuesday"/>
    <s v="Aug"/>
    <d v="2023-08-08T00:00:00"/>
    <s v="CUST125"/>
    <x v="0"/>
    <x v="0"/>
    <n v="48"/>
    <x v="1"/>
    <n v="2"/>
    <n v="50"/>
    <n v="100"/>
    <n v="1.5"/>
    <n v="2"/>
  </r>
  <r>
    <n v="126"/>
    <n v="26"/>
    <n v="10"/>
    <n v="2023"/>
    <s v="Thursday"/>
    <s v="Oct"/>
    <d v="2023-10-26T00:00:00"/>
    <s v="CUST126"/>
    <x v="1"/>
    <x v="1"/>
    <n v="28"/>
    <x v="1"/>
    <n v="3"/>
    <n v="30"/>
    <n v="90"/>
    <n v="1.3499999999999999"/>
    <n v="1.8"/>
  </r>
  <r>
    <n v="127"/>
    <n v="24"/>
    <n v="7"/>
    <n v="2023"/>
    <s v="Monday"/>
    <s v="Jul"/>
    <d v="2023-07-24T00:00:00"/>
    <s v="CUST127"/>
    <x v="1"/>
    <x v="0"/>
    <n v="33"/>
    <x v="1"/>
    <n v="2"/>
    <n v="25"/>
    <n v="50"/>
    <n v="0.75"/>
    <n v="1"/>
  </r>
  <r>
    <n v="128"/>
    <n v="5"/>
    <n v="7"/>
    <n v="2023"/>
    <s v="Wednesday"/>
    <s v="Jul"/>
    <d v="2023-07-05T00:00:00"/>
    <s v="CUST128"/>
    <x v="0"/>
    <x v="1"/>
    <n v="25"/>
    <x v="0"/>
    <n v="1"/>
    <n v="500"/>
    <n v="500"/>
    <n v="7.5"/>
    <n v="10"/>
  </r>
  <r>
    <n v="129"/>
    <n v="23"/>
    <n v="4"/>
    <n v="2023"/>
    <s v="Sunday"/>
    <s v="Apr"/>
    <d v="2023-04-23T00:00:00"/>
    <s v="CUST129"/>
    <x v="1"/>
    <x v="1"/>
    <n v="21"/>
    <x v="0"/>
    <n v="2"/>
    <n v="300"/>
    <n v="600"/>
    <n v="9"/>
    <n v="12"/>
  </r>
  <r>
    <n v="130"/>
    <n v="12"/>
    <n v="3"/>
    <n v="2023"/>
    <s v="Sunday"/>
    <s v="Mar"/>
    <d v="2023-03-12T00:00:00"/>
    <s v="CUST130"/>
    <x v="1"/>
    <x v="2"/>
    <n v="57"/>
    <x v="1"/>
    <n v="1"/>
    <n v="500"/>
    <n v="500"/>
    <n v="7.5"/>
    <n v="10"/>
  </r>
  <r>
    <n v="131"/>
    <n v="18"/>
    <n v="9"/>
    <n v="2023"/>
    <s v="Monday"/>
    <s v="Sep"/>
    <d v="2023-09-18T00:00:00"/>
    <s v="CUST131"/>
    <x v="1"/>
    <x v="1"/>
    <n v="21"/>
    <x v="0"/>
    <n v="2"/>
    <n v="300"/>
    <n v="600"/>
    <n v="9"/>
    <n v="12"/>
  </r>
  <r>
    <n v="132"/>
    <n v="10"/>
    <n v="9"/>
    <n v="2023"/>
    <s v="Sunday"/>
    <s v="Sep"/>
    <d v="2023-09-10T00:00:00"/>
    <s v="CUST132"/>
    <x v="0"/>
    <x v="0"/>
    <n v="42"/>
    <x v="2"/>
    <n v="4"/>
    <n v="50"/>
    <n v="200"/>
    <n v="3"/>
    <n v="4"/>
  </r>
  <r>
    <n v="133"/>
    <n v="16"/>
    <n v="2"/>
    <n v="2023"/>
    <s v="Thursday"/>
    <s v="Feb"/>
    <d v="2023-02-16T00:00:00"/>
    <s v="CUST133"/>
    <x v="0"/>
    <x v="1"/>
    <n v="20"/>
    <x v="2"/>
    <n v="3"/>
    <n v="300"/>
    <n v="900"/>
    <n v="13.5"/>
    <n v="18"/>
  </r>
  <r>
    <n v="134"/>
    <n v="25"/>
    <n v="1"/>
    <n v="2023"/>
    <s v="Wednesday"/>
    <s v="Jan"/>
    <d v="2023-01-25T00:00:00"/>
    <s v="CUST134"/>
    <x v="0"/>
    <x v="0"/>
    <n v="49"/>
    <x v="2"/>
    <n v="1"/>
    <n v="50"/>
    <n v="50"/>
    <n v="0.75"/>
    <n v="1"/>
  </r>
  <r>
    <n v="135"/>
    <n v="26"/>
    <n v="2"/>
    <n v="2023"/>
    <s v="Sunday"/>
    <s v="Feb"/>
    <d v="2023-02-26T00:00:00"/>
    <s v="CUST135"/>
    <x v="0"/>
    <x v="1"/>
    <n v="20"/>
    <x v="1"/>
    <n v="2"/>
    <n v="25"/>
    <n v="50"/>
    <n v="0.75"/>
    <n v="1"/>
  </r>
  <r>
    <n v="136"/>
    <n v="20"/>
    <n v="3"/>
    <n v="2023"/>
    <s v="Monday"/>
    <s v="Mar"/>
    <d v="2023-03-20T00:00:00"/>
    <s v="CUST136"/>
    <x v="0"/>
    <x v="0"/>
    <n v="44"/>
    <x v="2"/>
    <n v="2"/>
    <n v="300"/>
    <n v="600"/>
    <n v="9"/>
    <n v="12"/>
  </r>
  <r>
    <n v="137"/>
    <n v="18"/>
    <n v="11"/>
    <n v="2023"/>
    <s v="Saturday"/>
    <s v="Nov"/>
    <d v="2023-11-18T00:00:00"/>
    <s v="CUST137"/>
    <x v="0"/>
    <x v="0"/>
    <n v="46"/>
    <x v="0"/>
    <n v="2"/>
    <n v="500"/>
    <n v="1000"/>
    <n v="15"/>
    <n v="20"/>
  </r>
  <r>
    <n v="138"/>
    <n v="23"/>
    <n v="3"/>
    <n v="2023"/>
    <s v="Thursday"/>
    <s v="Mar"/>
    <d v="2023-03-23T00:00:00"/>
    <s v="CUST138"/>
    <x v="0"/>
    <x v="0"/>
    <n v="49"/>
    <x v="1"/>
    <n v="4"/>
    <n v="50"/>
    <n v="200"/>
    <n v="3"/>
    <n v="4"/>
  </r>
  <r>
    <n v="139"/>
    <n v="15"/>
    <n v="12"/>
    <n v="2023"/>
    <s v="Friday"/>
    <s v="Dec"/>
    <d v="2023-12-15T00:00:00"/>
    <s v="CUST139"/>
    <x v="0"/>
    <x v="0"/>
    <n v="36"/>
    <x v="0"/>
    <n v="4"/>
    <n v="500"/>
    <n v="2000"/>
    <n v="30"/>
    <n v="40"/>
  </r>
  <r>
    <n v="140"/>
    <n v="5"/>
    <n v="8"/>
    <n v="2023"/>
    <s v="Saturday"/>
    <s v="Aug"/>
    <d v="2023-08-05T00:00:00"/>
    <s v="CUST140"/>
    <x v="0"/>
    <x v="0"/>
    <n v="38"/>
    <x v="2"/>
    <n v="1"/>
    <n v="30"/>
    <n v="30"/>
    <n v="0.44999999999999996"/>
    <n v="0.6"/>
  </r>
  <r>
    <n v="141"/>
    <n v="2"/>
    <n v="11"/>
    <n v="2023"/>
    <s v="Thursday"/>
    <s v="Nov"/>
    <d v="2023-11-02T00:00:00"/>
    <s v="CUST141"/>
    <x v="1"/>
    <x v="1"/>
    <n v="22"/>
    <x v="2"/>
    <n v="1"/>
    <n v="50"/>
    <n v="50"/>
    <n v="0.75"/>
    <n v="1"/>
  </r>
  <r>
    <n v="142"/>
    <n v="2"/>
    <n v="2"/>
    <n v="2023"/>
    <s v="Thursday"/>
    <s v="Feb"/>
    <d v="2023-02-02T00:00:00"/>
    <s v="CUST142"/>
    <x v="0"/>
    <x v="0"/>
    <n v="35"/>
    <x v="2"/>
    <n v="4"/>
    <n v="300"/>
    <n v="1200"/>
    <n v="18"/>
    <n v="24"/>
  </r>
  <r>
    <n v="143"/>
    <n v="17"/>
    <n v="7"/>
    <n v="2023"/>
    <s v="Monday"/>
    <s v="Jul"/>
    <d v="2023-07-17T00:00:00"/>
    <s v="CUST143"/>
    <x v="1"/>
    <x v="0"/>
    <n v="45"/>
    <x v="1"/>
    <n v="1"/>
    <n v="50"/>
    <n v="50"/>
    <n v="0.75"/>
    <n v="1"/>
  </r>
  <r>
    <n v="144"/>
    <n v="15"/>
    <n v="7"/>
    <n v="2023"/>
    <s v="Saturday"/>
    <s v="Jul"/>
    <d v="2023-07-15T00:00:00"/>
    <s v="CUST144"/>
    <x v="1"/>
    <x v="2"/>
    <n v="59"/>
    <x v="0"/>
    <n v="3"/>
    <n v="500"/>
    <n v="1500"/>
    <n v="22.5"/>
    <n v="30"/>
  </r>
  <r>
    <n v="145"/>
    <n v="2"/>
    <n v="11"/>
    <n v="2023"/>
    <s v="Thursday"/>
    <s v="Nov"/>
    <d v="2023-11-02T00:00:00"/>
    <s v="CUST145"/>
    <x v="1"/>
    <x v="0"/>
    <n v="39"/>
    <x v="1"/>
    <n v="3"/>
    <n v="25"/>
    <n v="75"/>
    <n v="1.125"/>
    <n v="1.5"/>
  </r>
  <r>
    <n v="146"/>
    <n v="28"/>
    <n v="8"/>
    <n v="2023"/>
    <s v="Monday"/>
    <s v="Aug"/>
    <d v="2023-08-28T00:00:00"/>
    <s v="CUST146"/>
    <x v="0"/>
    <x v="0"/>
    <n v="38"/>
    <x v="1"/>
    <n v="4"/>
    <n v="50"/>
    <n v="200"/>
    <n v="3"/>
    <n v="4"/>
  </r>
  <r>
    <n v="147"/>
    <n v="28"/>
    <n v="9"/>
    <n v="2023"/>
    <s v="Thursday"/>
    <s v="Sep"/>
    <d v="2023-09-28T00:00:00"/>
    <s v="CUST147"/>
    <x v="0"/>
    <x v="1"/>
    <n v="23"/>
    <x v="2"/>
    <n v="1"/>
    <n v="300"/>
    <n v="300"/>
    <n v="4.5"/>
    <n v="6"/>
  </r>
  <r>
    <n v="148"/>
    <n v="9"/>
    <n v="5"/>
    <n v="2023"/>
    <s v="Tuesday"/>
    <s v="May"/>
    <d v="2023-05-09T00:00:00"/>
    <s v="CUST148"/>
    <x v="0"/>
    <x v="1"/>
    <n v="18"/>
    <x v="1"/>
    <n v="2"/>
    <n v="30"/>
    <n v="60"/>
    <n v="0.89999999999999991"/>
    <n v="1.2"/>
  </r>
  <r>
    <n v="149"/>
    <n v="11"/>
    <n v="10"/>
    <n v="2023"/>
    <s v="Wednesday"/>
    <s v="Oct"/>
    <d v="2023-10-11T00:00:00"/>
    <s v="CUST149"/>
    <x v="0"/>
    <x v="1"/>
    <n v="22"/>
    <x v="1"/>
    <n v="3"/>
    <n v="25"/>
    <n v="75"/>
    <n v="1.125"/>
    <n v="1.5"/>
  </r>
  <r>
    <n v="150"/>
    <n v="6"/>
    <n v="1"/>
    <n v="2023"/>
    <s v="Friday"/>
    <s v="Jan"/>
    <d v="2023-01-06T00:00:00"/>
    <s v="CUST150"/>
    <x v="1"/>
    <x v="2"/>
    <n v="58"/>
    <x v="2"/>
    <n v="4"/>
    <n v="30"/>
    <n v="120"/>
    <n v="1.7999999999999998"/>
    <n v="2.4"/>
  </r>
  <r>
    <n v="151"/>
    <n v="15"/>
    <n v="12"/>
    <n v="2023"/>
    <s v="Friday"/>
    <s v="Dec"/>
    <d v="2023-12-15T00:00:00"/>
    <s v="CUST151"/>
    <x v="0"/>
    <x v="1"/>
    <n v="29"/>
    <x v="1"/>
    <n v="1"/>
    <n v="50"/>
    <n v="50"/>
    <n v="0.75"/>
    <n v="1"/>
  </r>
  <r>
    <n v="152"/>
    <n v="28"/>
    <n v="2"/>
    <n v="2023"/>
    <s v="Tuesday"/>
    <s v="Feb"/>
    <d v="2023-02-28T00:00:00"/>
    <s v="CUST152"/>
    <x v="0"/>
    <x v="0"/>
    <n v="43"/>
    <x v="2"/>
    <n v="4"/>
    <n v="500"/>
    <n v="2000"/>
    <n v="30"/>
    <n v="40"/>
  </r>
  <r>
    <n v="153"/>
    <n v="16"/>
    <n v="12"/>
    <n v="2023"/>
    <s v="Saturday"/>
    <s v="Dec"/>
    <d v="2023-12-16T00:00:00"/>
    <s v="CUST153"/>
    <x v="0"/>
    <x v="2"/>
    <n v="63"/>
    <x v="2"/>
    <n v="2"/>
    <n v="500"/>
    <n v="1000"/>
    <n v="15"/>
    <n v="20"/>
  </r>
  <r>
    <n v="154"/>
    <n v="2"/>
    <n v="10"/>
    <n v="2023"/>
    <s v="Monday"/>
    <s v="Oct"/>
    <d v="2023-10-02T00:00:00"/>
    <s v="CUST154"/>
    <x v="0"/>
    <x v="2"/>
    <n v="51"/>
    <x v="2"/>
    <n v="3"/>
    <n v="300"/>
    <n v="900"/>
    <n v="13.5"/>
    <n v="18"/>
  </r>
  <r>
    <n v="155"/>
    <n v="17"/>
    <n v="5"/>
    <n v="2023"/>
    <s v="Wednesday"/>
    <s v="May"/>
    <d v="2023-05-17T00:00:00"/>
    <s v="CUST155"/>
    <x v="0"/>
    <x v="0"/>
    <n v="31"/>
    <x v="2"/>
    <n v="4"/>
    <n v="500"/>
    <n v="2000"/>
    <n v="30"/>
    <n v="40"/>
  </r>
  <r>
    <n v="156"/>
    <n v="25"/>
    <n v="11"/>
    <n v="2023"/>
    <s v="Saturday"/>
    <s v="Nov"/>
    <d v="2023-11-25T00:00:00"/>
    <s v="CUST156"/>
    <x v="1"/>
    <x v="0"/>
    <n v="43"/>
    <x v="1"/>
    <n v="4"/>
    <n v="25"/>
    <n v="100"/>
    <n v="1.5"/>
    <n v="2"/>
  </r>
  <r>
    <n v="157"/>
    <n v="24"/>
    <n v="6"/>
    <n v="2023"/>
    <s v="Saturday"/>
    <s v="Jun"/>
    <d v="2023-06-24T00:00:00"/>
    <s v="CUST157"/>
    <x v="0"/>
    <x v="2"/>
    <n v="62"/>
    <x v="2"/>
    <n v="4"/>
    <n v="500"/>
    <n v="2000"/>
    <n v="30"/>
    <n v="40"/>
  </r>
  <r>
    <n v="158"/>
    <n v="27"/>
    <n v="2"/>
    <n v="2023"/>
    <s v="Monday"/>
    <s v="Feb"/>
    <d v="2023-02-27T00:00:00"/>
    <s v="CUST158"/>
    <x v="1"/>
    <x v="0"/>
    <n v="44"/>
    <x v="2"/>
    <n v="2"/>
    <n v="300"/>
    <n v="600"/>
    <n v="9"/>
    <n v="12"/>
  </r>
  <r>
    <n v="159"/>
    <n v="31"/>
    <n v="5"/>
    <n v="2023"/>
    <s v="Wednesday"/>
    <s v="May"/>
    <d v="2023-05-31T00:00:00"/>
    <s v="CUST159"/>
    <x v="0"/>
    <x v="1"/>
    <n v="26"/>
    <x v="1"/>
    <n v="4"/>
    <n v="50"/>
    <n v="200"/>
    <n v="3"/>
    <n v="4"/>
  </r>
  <r>
    <n v="160"/>
    <n v="11"/>
    <n v="8"/>
    <n v="2023"/>
    <s v="Friday"/>
    <s v="Aug"/>
    <d v="2023-08-11T00:00:00"/>
    <s v="CUST160"/>
    <x v="1"/>
    <x v="0"/>
    <n v="43"/>
    <x v="1"/>
    <n v="2"/>
    <n v="50"/>
    <n v="100"/>
    <n v="1.5"/>
    <n v="2"/>
  </r>
  <r>
    <n v="161"/>
    <n v="22"/>
    <n v="3"/>
    <n v="2023"/>
    <s v="Wednesday"/>
    <s v="Mar"/>
    <d v="2023-03-22T00:00:00"/>
    <s v="CUST161"/>
    <x v="0"/>
    <x v="2"/>
    <n v="64"/>
    <x v="0"/>
    <n v="2"/>
    <n v="500"/>
    <n v="1000"/>
    <n v="15"/>
    <n v="20"/>
  </r>
  <r>
    <n v="162"/>
    <n v="21"/>
    <n v="8"/>
    <n v="2023"/>
    <s v="Monday"/>
    <s v="Aug"/>
    <d v="2023-08-21T00:00:00"/>
    <s v="CUST162"/>
    <x v="0"/>
    <x v="0"/>
    <n v="39"/>
    <x v="1"/>
    <n v="2"/>
    <n v="30"/>
    <n v="60"/>
    <n v="0.89999999999999991"/>
    <n v="1.2"/>
  </r>
  <r>
    <n v="163"/>
    <n v="2"/>
    <n v="1"/>
    <n v="2023"/>
    <s v="Monday"/>
    <s v="Jan"/>
    <d v="2023-01-02T00:00:00"/>
    <s v="CUST163"/>
    <x v="1"/>
    <x v="2"/>
    <n v="64"/>
    <x v="1"/>
    <n v="3"/>
    <n v="50"/>
    <n v="150"/>
    <n v="2.25"/>
    <n v="3"/>
  </r>
  <r>
    <n v="164"/>
    <n v="15"/>
    <n v="5"/>
    <n v="2023"/>
    <s v="Monday"/>
    <s v="May"/>
    <d v="2023-05-15T00:00:00"/>
    <s v="CUST164"/>
    <x v="1"/>
    <x v="0"/>
    <n v="47"/>
    <x v="0"/>
    <n v="3"/>
    <n v="500"/>
    <n v="1500"/>
    <n v="22.5"/>
    <n v="30"/>
  </r>
  <r>
    <n v="165"/>
    <n v="14"/>
    <n v="9"/>
    <n v="2023"/>
    <s v="Thursday"/>
    <s v="Sep"/>
    <d v="2023-09-14T00:00:00"/>
    <s v="CUST165"/>
    <x v="1"/>
    <x v="2"/>
    <n v="60"/>
    <x v="1"/>
    <n v="4"/>
    <n v="300"/>
    <n v="1200"/>
    <n v="18"/>
    <n v="24"/>
  </r>
  <r>
    <n v="166"/>
    <n v="2"/>
    <n v="4"/>
    <n v="2023"/>
    <s v="Sunday"/>
    <s v="Apr"/>
    <d v="2023-04-02T00:00:00"/>
    <s v="CUST166"/>
    <x v="0"/>
    <x v="0"/>
    <n v="34"/>
    <x v="1"/>
    <n v="4"/>
    <n v="500"/>
    <n v="2000"/>
    <n v="30"/>
    <n v="40"/>
  </r>
  <r>
    <n v="167"/>
    <n v="17"/>
    <n v="9"/>
    <n v="2023"/>
    <s v="Sunday"/>
    <s v="Sep"/>
    <d v="2023-09-17T00:00:00"/>
    <s v="CUST167"/>
    <x v="1"/>
    <x v="0"/>
    <n v="43"/>
    <x v="1"/>
    <n v="3"/>
    <n v="50"/>
    <n v="150"/>
    <n v="2.25"/>
    <n v="3"/>
  </r>
  <r>
    <n v="168"/>
    <n v="24"/>
    <n v="2"/>
    <n v="2023"/>
    <s v="Friday"/>
    <s v="Feb"/>
    <d v="2023-02-24T00:00:00"/>
    <s v="CUST168"/>
    <x v="0"/>
    <x v="2"/>
    <n v="53"/>
    <x v="1"/>
    <n v="1"/>
    <n v="300"/>
    <n v="300"/>
    <n v="4.5"/>
    <n v="6"/>
  </r>
  <r>
    <n v="169"/>
    <n v="17"/>
    <n v="11"/>
    <n v="2023"/>
    <s v="Friday"/>
    <s v="Nov"/>
    <d v="2023-11-17T00:00:00"/>
    <s v="CUST169"/>
    <x v="0"/>
    <x v="1"/>
    <n v="18"/>
    <x v="0"/>
    <n v="3"/>
    <n v="500"/>
    <n v="1500"/>
    <n v="22.5"/>
    <n v="30"/>
  </r>
  <r>
    <n v="170"/>
    <n v="2"/>
    <n v="6"/>
    <n v="2023"/>
    <s v="Friday"/>
    <s v="Jun"/>
    <d v="2023-06-02T00:00:00"/>
    <s v="CUST170"/>
    <x v="1"/>
    <x v="1"/>
    <n v="25"/>
    <x v="1"/>
    <n v="2"/>
    <n v="25"/>
    <n v="50"/>
    <n v="0.75"/>
    <n v="1"/>
  </r>
  <r>
    <n v="171"/>
    <n v="24"/>
    <n v="11"/>
    <n v="2023"/>
    <s v="Friday"/>
    <s v="Nov"/>
    <d v="2023-11-24T00:00:00"/>
    <s v="CUST171"/>
    <x v="1"/>
    <x v="2"/>
    <n v="52"/>
    <x v="1"/>
    <n v="3"/>
    <n v="300"/>
    <n v="900"/>
    <n v="13.5"/>
    <n v="18"/>
  </r>
  <r>
    <n v="172"/>
    <n v="17"/>
    <n v="9"/>
    <n v="2023"/>
    <s v="Sunday"/>
    <s v="Sep"/>
    <d v="2023-09-17T00:00:00"/>
    <s v="CUST172"/>
    <x v="0"/>
    <x v="0"/>
    <n v="32"/>
    <x v="0"/>
    <n v="2"/>
    <n v="25"/>
    <n v="50"/>
    <n v="0.75"/>
    <n v="1"/>
  </r>
  <r>
    <n v="173"/>
    <n v="8"/>
    <n v="11"/>
    <n v="2023"/>
    <s v="Wednesday"/>
    <s v="Nov"/>
    <d v="2023-11-08T00:00:00"/>
    <s v="CUST173"/>
    <x v="0"/>
    <x v="2"/>
    <n v="64"/>
    <x v="2"/>
    <n v="4"/>
    <n v="30"/>
    <n v="120"/>
    <n v="1.7999999999999998"/>
    <n v="2.4"/>
  </r>
  <r>
    <n v="174"/>
    <n v="12"/>
    <n v="4"/>
    <n v="2023"/>
    <s v="Wednesday"/>
    <s v="Apr"/>
    <d v="2023-04-12T00:00:00"/>
    <s v="CUST174"/>
    <x v="1"/>
    <x v="0"/>
    <n v="39"/>
    <x v="0"/>
    <n v="1"/>
    <n v="300"/>
    <n v="300"/>
    <n v="4.5"/>
    <n v="6"/>
  </r>
  <r>
    <n v="175"/>
    <n v="20"/>
    <n v="3"/>
    <n v="2023"/>
    <s v="Monday"/>
    <s v="Mar"/>
    <d v="2023-03-20T00:00:00"/>
    <s v="CUST175"/>
    <x v="1"/>
    <x v="0"/>
    <n v="31"/>
    <x v="2"/>
    <n v="4"/>
    <n v="25"/>
    <n v="100"/>
    <n v="1.5"/>
    <n v="2"/>
  </r>
  <r>
    <n v="176"/>
    <n v="11"/>
    <n v="7"/>
    <n v="2023"/>
    <s v="Tuesday"/>
    <s v="Jul"/>
    <d v="2023-07-11T00:00:00"/>
    <s v="CUST176"/>
    <x v="1"/>
    <x v="0"/>
    <n v="43"/>
    <x v="0"/>
    <n v="2"/>
    <n v="50"/>
    <n v="100"/>
    <n v="1.5"/>
    <n v="2"/>
  </r>
  <r>
    <n v="177"/>
    <n v="24"/>
    <n v="3"/>
    <n v="2023"/>
    <s v="Friday"/>
    <s v="Mar"/>
    <d v="2023-03-24T00:00:00"/>
    <s v="CUST177"/>
    <x v="0"/>
    <x v="0"/>
    <n v="45"/>
    <x v="0"/>
    <n v="2"/>
    <n v="50"/>
    <n v="100"/>
    <n v="1.5"/>
    <n v="2"/>
  </r>
  <r>
    <n v="178"/>
    <n v="4"/>
    <n v="10"/>
    <n v="2023"/>
    <s v="Wednesday"/>
    <s v="Oct"/>
    <d v="2023-10-04T00:00:00"/>
    <s v="CUST178"/>
    <x v="0"/>
    <x v="0"/>
    <n v="40"/>
    <x v="1"/>
    <n v="2"/>
    <n v="30"/>
    <n v="60"/>
    <n v="0.89999999999999991"/>
    <n v="1.2"/>
  </r>
  <r>
    <n v="179"/>
    <n v="29"/>
    <n v="9"/>
    <n v="2023"/>
    <s v="Friday"/>
    <s v="Sep"/>
    <d v="2023-09-29T00:00:00"/>
    <s v="CUST179"/>
    <x v="0"/>
    <x v="0"/>
    <n v="31"/>
    <x v="2"/>
    <n v="1"/>
    <n v="300"/>
    <n v="300"/>
    <n v="4.5"/>
    <n v="6"/>
  </r>
  <r>
    <n v="180"/>
    <n v="1"/>
    <n v="1"/>
    <n v="2023"/>
    <s v="Sunday"/>
    <s v="Jan"/>
    <d v="2023-01-01T00:00:00"/>
    <s v="CUST180"/>
    <x v="0"/>
    <x v="0"/>
    <n v="41"/>
    <x v="1"/>
    <n v="3"/>
    <n v="300"/>
    <n v="900"/>
    <n v="13.5"/>
    <n v="18"/>
  </r>
  <r>
    <n v="181"/>
    <n v="3"/>
    <n v="11"/>
    <n v="2023"/>
    <s v="Friday"/>
    <s v="Nov"/>
    <d v="2023-11-03T00:00:00"/>
    <s v="CUST181"/>
    <x v="0"/>
    <x v="1"/>
    <n v="19"/>
    <x v="2"/>
    <n v="4"/>
    <n v="300"/>
    <n v="1200"/>
    <n v="18"/>
    <n v="24"/>
  </r>
  <r>
    <n v="182"/>
    <n v="15"/>
    <n v="6"/>
    <n v="2023"/>
    <s v="Thursday"/>
    <s v="Jun"/>
    <d v="2023-06-15T00:00:00"/>
    <s v="CUST182"/>
    <x v="0"/>
    <x v="2"/>
    <n v="62"/>
    <x v="0"/>
    <n v="4"/>
    <n v="30"/>
    <n v="120"/>
    <n v="1.7999999999999998"/>
    <n v="2.4"/>
  </r>
  <r>
    <n v="183"/>
    <n v="8"/>
    <n v="9"/>
    <n v="2023"/>
    <s v="Friday"/>
    <s v="Sep"/>
    <d v="2023-09-08T00:00:00"/>
    <s v="CUST183"/>
    <x v="1"/>
    <x v="0"/>
    <n v="43"/>
    <x v="0"/>
    <n v="3"/>
    <n v="300"/>
    <n v="900"/>
    <n v="13.5"/>
    <n v="18"/>
  </r>
  <r>
    <n v="184"/>
    <n v="10"/>
    <n v="1"/>
    <n v="2023"/>
    <s v="Tuesday"/>
    <s v="Jan"/>
    <d v="2023-01-10T00:00:00"/>
    <s v="CUST184"/>
    <x v="0"/>
    <x v="0"/>
    <n v="31"/>
    <x v="2"/>
    <n v="4"/>
    <n v="50"/>
    <n v="200"/>
    <n v="3"/>
    <n v="4"/>
  </r>
  <r>
    <n v="185"/>
    <n v="27"/>
    <n v="2"/>
    <n v="2023"/>
    <s v="Monday"/>
    <s v="Feb"/>
    <d v="2023-02-27T00:00:00"/>
    <s v="CUST185"/>
    <x v="0"/>
    <x v="1"/>
    <n v="24"/>
    <x v="1"/>
    <n v="1"/>
    <n v="25"/>
    <n v="25"/>
    <n v="0.375"/>
    <n v="0.5"/>
  </r>
  <r>
    <n v="186"/>
    <n v="5"/>
    <n v="7"/>
    <n v="2023"/>
    <s v="Wednesday"/>
    <s v="Jul"/>
    <d v="2023-07-05T00:00:00"/>
    <s v="CUST186"/>
    <x v="0"/>
    <x v="1"/>
    <n v="20"/>
    <x v="1"/>
    <n v="4"/>
    <n v="50"/>
    <n v="200"/>
    <n v="3"/>
    <n v="4"/>
  </r>
  <r>
    <n v="187"/>
    <n v="7"/>
    <n v="6"/>
    <n v="2023"/>
    <s v="Wednesday"/>
    <s v="Jun"/>
    <d v="2023-06-07T00:00:00"/>
    <s v="CUST187"/>
    <x v="1"/>
    <x v="2"/>
    <n v="64"/>
    <x v="1"/>
    <n v="2"/>
    <n v="50"/>
    <n v="100"/>
    <n v="1.5"/>
    <n v="2"/>
  </r>
  <r>
    <n v="188"/>
    <n v="3"/>
    <n v="5"/>
    <n v="2023"/>
    <s v="Wednesday"/>
    <s v="May"/>
    <d v="2023-05-03T00:00:00"/>
    <s v="CUST188"/>
    <x v="0"/>
    <x v="0"/>
    <n v="40"/>
    <x v="1"/>
    <n v="3"/>
    <n v="25"/>
    <n v="75"/>
    <n v="1.125"/>
    <n v="1.5"/>
  </r>
  <r>
    <n v="189"/>
    <n v="30"/>
    <n v="1"/>
    <n v="2023"/>
    <s v="Monday"/>
    <s v="Jan"/>
    <d v="2023-01-30T00:00:00"/>
    <s v="CUST189"/>
    <x v="0"/>
    <x v="2"/>
    <n v="63"/>
    <x v="0"/>
    <n v="1"/>
    <n v="50"/>
    <n v="50"/>
    <n v="0.75"/>
    <n v="1"/>
  </r>
  <r>
    <n v="190"/>
    <n v="4"/>
    <n v="5"/>
    <n v="2023"/>
    <s v="Thursday"/>
    <s v="May"/>
    <d v="2023-05-04T00:00:00"/>
    <s v="CUST190"/>
    <x v="1"/>
    <x v="2"/>
    <n v="60"/>
    <x v="0"/>
    <n v="3"/>
    <n v="30"/>
    <n v="90"/>
    <n v="1.3499999999999999"/>
    <n v="1.8"/>
  </r>
  <r>
    <n v="191"/>
    <n v="18"/>
    <n v="10"/>
    <n v="2023"/>
    <s v="Wednesday"/>
    <s v="Oct"/>
    <d v="2023-10-18T00:00:00"/>
    <s v="CUST191"/>
    <x v="0"/>
    <x v="2"/>
    <n v="64"/>
    <x v="0"/>
    <n v="1"/>
    <n v="25"/>
    <n v="25"/>
    <n v="0.375"/>
    <n v="0.5"/>
  </r>
  <r>
    <n v="192"/>
    <n v="10"/>
    <n v="2"/>
    <n v="2023"/>
    <s v="Friday"/>
    <s v="Feb"/>
    <d v="2023-02-10T00:00:00"/>
    <s v="CUST192"/>
    <x v="0"/>
    <x v="2"/>
    <n v="62"/>
    <x v="0"/>
    <n v="2"/>
    <n v="50"/>
    <n v="100"/>
    <n v="1.5"/>
    <n v="2"/>
  </r>
  <r>
    <n v="193"/>
    <n v="13"/>
    <n v="2"/>
    <n v="2023"/>
    <s v="Monday"/>
    <s v="Feb"/>
    <d v="2023-02-13T00:00:00"/>
    <s v="CUST193"/>
    <x v="0"/>
    <x v="0"/>
    <n v="35"/>
    <x v="0"/>
    <n v="3"/>
    <n v="500"/>
    <n v="1500"/>
    <n v="22.5"/>
    <n v="30"/>
  </r>
  <r>
    <n v="194"/>
    <n v="6"/>
    <n v="9"/>
    <n v="2023"/>
    <s v="Wednesday"/>
    <s v="Sep"/>
    <d v="2023-09-06T00:00:00"/>
    <s v="CUST194"/>
    <x v="0"/>
    <x v="2"/>
    <n v="55"/>
    <x v="1"/>
    <n v="4"/>
    <n v="50"/>
    <n v="200"/>
    <n v="3"/>
    <n v="4"/>
  </r>
  <r>
    <n v="195"/>
    <n v="5"/>
    <n v="2"/>
    <n v="2023"/>
    <s v="Sunday"/>
    <s v="Feb"/>
    <d v="2023-02-05T00:00:00"/>
    <s v="CUST195"/>
    <x v="0"/>
    <x v="2"/>
    <n v="52"/>
    <x v="1"/>
    <n v="1"/>
    <n v="30"/>
    <n v="30"/>
    <n v="0.44999999999999996"/>
    <n v="0.6"/>
  </r>
  <r>
    <n v="196"/>
    <n v="30"/>
    <n v="9"/>
    <n v="2023"/>
    <s v="Saturday"/>
    <s v="Sep"/>
    <d v="2023-09-30T00:00:00"/>
    <s v="CUST196"/>
    <x v="1"/>
    <x v="0"/>
    <n v="32"/>
    <x v="1"/>
    <n v="3"/>
    <n v="300"/>
    <n v="900"/>
    <n v="13.5"/>
    <n v="18"/>
  </r>
  <r>
    <n v="197"/>
    <n v="6"/>
    <n v="3"/>
    <n v="2023"/>
    <s v="Monday"/>
    <s v="Mar"/>
    <d v="2023-03-06T00:00:00"/>
    <s v="CUST197"/>
    <x v="1"/>
    <x v="0"/>
    <n v="42"/>
    <x v="1"/>
    <n v="4"/>
    <n v="50"/>
    <n v="200"/>
    <n v="3"/>
    <n v="4"/>
  </r>
  <r>
    <n v="198"/>
    <n v="7"/>
    <n v="3"/>
    <n v="2023"/>
    <s v="Tuesday"/>
    <s v="Mar"/>
    <d v="2023-03-07T00:00:00"/>
    <s v="CUST198"/>
    <x v="1"/>
    <x v="2"/>
    <n v="54"/>
    <x v="0"/>
    <n v="3"/>
    <n v="300"/>
    <n v="900"/>
    <n v="13.5"/>
    <n v="18"/>
  </r>
  <r>
    <n v="199"/>
    <n v="4"/>
    <n v="12"/>
    <n v="2023"/>
    <s v="Monday"/>
    <s v="Dec"/>
    <d v="2023-12-04T00:00:00"/>
    <s v="CUST199"/>
    <x v="0"/>
    <x v="0"/>
    <n v="45"/>
    <x v="0"/>
    <n v="3"/>
    <n v="500"/>
    <n v="1500"/>
    <n v="22.5"/>
    <n v="30"/>
  </r>
  <r>
    <n v="200"/>
    <n v="1"/>
    <n v="9"/>
    <n v="2023"/>
    <s v="Friday"/>
    <s v="Sep"/>
    <d v="2023-09-01T00:00:00"/>
    <s v="CUST200"/>
    <x v="0"/>
    <x v="1"/>
    <n v="27"/>
    <x v="0"/>
    <n v="3"/>
    <n v="50"/>
    <n v="150"/>
    <n v="2.25"/>
    <n v="3"/>
  </r>
  <r>
    <n v="201"/>
    <n v="9"/>
    <n v="10"/>
    <n v="2023"/>
    <s v="Monday"/>
    <s v="Oct"/>
    <d v="2023-10-09T00:00:00"/>
    <s v="CUST201"/>
    <x v="0"/>
    <x v="2"/>
    <n v="56"/>
    <x v="2"/>
    <n v="1"/>
    <n v="25"/>
    <n v="25"/>
    <n v="0.375"/>
    <n v="0.5"/>
  </r>
  <r>
    <n v="202"/>
    <n v="26"/>
    <n v="3"/>
    <n v="2023"/>
    <s v="Sunday"/>
    <s v="Mar"/>
    <d v="2023-03-26T00:00:00"/>
    <s v="CUST202"/>
    <x v="1"/>
    <x v="0"/>
    <n v="34"/>
    <x v="1"/>
    <n v="4"/>
    <n v="300"/>
    <n v="1200"/>
    <n v="18"/>
    <n v="24"/>
  </r>
  <r>
    <n v="203"/>
    <n v="16"/>
    <n v="5"/>
    <n v="2023"/>
    <s v="Tuesday"/>
    <s v="May"/>
    <d v="2023-05-16T00:00:00"/>
    <s v="CUST203"/>
    <x v="0"/>
    <x v="2"/>
    <n v="56"/>
    <x v="1"/>
    <n v="2"/>
    <n v="500"/>
    <n v="1000"/>
    <n v="15"/>
    <n v="20"/>
  </r>
  <r>
    <n v="204"/>
    <n v="28"/>
    <n v="9"/>
    <n v="2023"/>
    <s v="Thursday"/>
    <s v="Sep"/>
    <d v="2023-09-28T00:00:00"/>
    <s v="CUST204"/>
    <x v="0"/>
    <x v="0"/>
    <n v="39"/>
    <x v="0"/>
    <n v="1"/>
    <n v="25"/>
    <n v="25"/>
    <n v="0.375"/>
    <n v="0.5"/>
  </r>
  <r>
    <n v="205"/>
    <n v="7"/>
    <n v="11"/>
    <n v="2023"/>
    <s v="Tuesday"/>
    <s v="Nov"/>
    <d v="2023-11-07T00:00:00"/>
    <s v="CUST205"/>
    <x v="1"/>
    <x v="0"/>
    <n v="43"/>
    <x v="1"/>
    <n v="1"/>
    <n v="25"/>
    <n v="25"/>
    <n v="0.375"/>
    <n v="0.5"/>
  </r>
  <r>
    <n v="206"/>
    <n v="5"/>
    <n v="8"/>
    <n v="2023"/>
    <s v="Saturday"/>
    <s v="Aug"/>
    <d v="2023-08-05T00:00:00"/>
    <s v="CUST206"/>
    <x v="0"/>
    <x v="2"/>
    <n v="61"/>
    <x v="1"/>
    <n v="1"/>
    <n v="25"/>
    <n v="25"/>
    <n v="0.375"/>
    <n v="0.5"/>
  </r>
  <r>
    <n v="207"/>
    <n v="19"/>
    <n v="4"/>
    <n v="2023"/>
    <s v="Wednesday"/>
    <s v="Apr"/>
    <d v="2023-04-19T00:00:00"/>
    <s v="CUST207"/>
    <x v="1"/>
    <x v="0"/>
    <n v="42"/>
    <x v="0"/>
    <n v="2"/>
    <n v="25"/>
    <n v="50"/>
    <n v="0.75"/>
    <n v="1"/>
  </r>
  <r>
    <n v="208"/>
    <n v="4"/>
    <n v="10"/>
    <n v="2023"/>
    <s v="Wednesday"/>
    <s v="Oct"/>
    <d v="2023-10-04T00:00:00"/>
    <s v="CUST208"/>
    <x v="1"/>
    <x v="0"/>
    <n v="34"/>
    <x v="2"/>
    <n v="4"/>
    <n v="50"/>
    <n v="200"/>
    <n v="3"/>
    <n v="4"/>
  </r>
  <r>
    <n v="209"/>
    <n v="20"/>
    <n v="12"/>
    <n v="2023"/>
    <s v="Wednesday"/>
    <s v="Dec"/>
    <d v="2023-12-20T00:00:00"/>
    <s v="CUST209"/>
    <x v="1"/>
    <x v="0"/>
    <n v="30"/>
    <x v="2"/>
    <n v="4"/>
    <n v="50"/>
    <n v="200"/>
    <n v="3"/>
    <n v="4"/>
  </r>
  <r>
    <n v="210"/>
    <n v="13"/>
    <n v="4"/>
    <n v="2023"/>
    <s v="Thursday"/>
    <s v="Apr"/>
    <d v="2023-04-13T00:00:00"/>
    <s v="CUST210"/>
    <x v="0"/>
    <x v="0"/>
    <n v="37"/>
    <x v="2"/>
    <n v="4"/>
    <n v="50"/>
    <n v="200"/>
    <n v="3"/>
    <n v="4"/>
  </r>
  <r>
    <n v="211"/>
    <n v="1"/>
    <n v="1"/>
    <n v="2024"/>
    <s v="Monday"/>
    <s v="Jan"/>
    <d v="2024-01-01T00:00:00"/>
    <s v="CUST211"/>
    <x v="0"/>
    <x v="0"/>
    <n v="42"/>
    <x v="0"/>
    <n v="3"/>
    <n v="500"/>
    <n v="1500"/>
    <n v="22.5"/>
    <n v="30"/>
  </r>
  <r>
    <n v="212"/>
    <n v="9"/>
    <n v="6"/>
    <n v="2023"/>
    <s v="Friday"/>
    <s v="Jun"/>
    <d v="2023-06-09T00:00:00"/>
    <s v="CUST212"/>
    <x v="0"/>
    <x v="1"/>
    <n v="21"/>
    <x v="1"/>
    <n v="3"/>
    <n v="500"/>
    <n v="1500"/>
    <n v="22.5"/>
    <n v="30"/>
  </r>
  <r>
    <n v="213"/>
    <n v="24"/>
    <n v="7"/>
    <n v="2023"/>
    <s v="Monday"/>
    <s v="Jul"/>
    <d v="2023-07-24T00:00:00"/>
    <s v="CUST213"/>
    <x v="0"/>
    <x v="1"/>
    <n v="27"/>
    <x v="0"/>
    <n v="3"/>
    <n v="500"/>
    <n v="1500"/>
    <n v="22.5"/>
    <n v="30"/>
  </r>
  <r>
    <n v="214"/>
    <n v="10"/>
    <n v="12"/>
    <n v="2023"/>
    <s v="Sunday"/>
    <s v="Dec"/>
    <d v="2023-12-10T00:00:00"/>
    <s v="CUST214"/>
    <x v="0"/>
    <x v="1"/>
    <n v="20"/>
    <x v="0"/>
    <n v="2"/>
    <n v="30"/>
    <n v="60"/>
    <n v="0.89999999999999991"/>
    <n v="1.2"/>
  </r>
  <r>
    <n v="215"/>
    <n v="29"/>
    <n v="11"/>
    <n v="2023"/>
    <s v="Wednesday"/>
    <s v="Nov"/>
    <d v="2023-11-29T00:00:00"/>
    <s v="CUST215"/>
    <x v="0"/>
    <x v="2"/>
    <n v="58"/>
    <x v="1"/>
    <n v="3"/>
    <n v="500"/>
    <n v="1500"/>
    <n v="22.5"/>
    <n v="30"/>
  </r>
  <r>
    <n v="216"/>
    <n v="11"/>
    <n v="7"/>
    <n v="2023"/>
    <s v="Tuesday"/>
    <s v="Jul"/>
    <d v="2023-07-11T00:00:00"/>
    <s v="CUST216"/>
    <x v="0"/>
    <x v="2"/>
    <n v="62"/>
    <x v="2"/>
    <n v="2"/>
    <n v="50"/>
    <n v="100"/>
    <n v="1.5"/>
    <n v="2"/>
  </r>
  <r>
    <n v="217"/>
    <n v="13"/>
    <n v="8"/>
    <n v="2023"/>
    <s v="Sunday"/>
    <s v="Aug"/>
    <d v="2023-08-13T00:00:00"/>
    <s v="CUST217"/>
    <x v="1"/>
    <x v="0"/>
    <n v="35"/>
    <x v="2"/>
    <n v="4"/>
    <n v="50"/>
    <n v="200"/>
    <n v="3"/>
    <n v="4"/>
  </r>
  <r>
    <n v="218"/>
    <n v="22"/>
    <n v="9"/>
    <n v="2023"/>
    <s v="Friday"/>
    <s v="Sep"/>
    <d v="2023-09-22T00:00:00"/>
    <s v="CUST218"/>
    <x v="0"/>
    <x v="2"/>
    <n v="64"/>
    <x v="0"/>
    <n v="3"/>
    <n v="30"/>
    <n v="90"/>
    <n v="1.3499999999999999"/>
    <n v="1.8"/>
  </r>
  <r>
    <n v="219"/>
    <n v="20"/>
    <n v="8"/>
    <n v="2023"/>
    <s v="Sunday"/>
    <s v="Aug"/>
    <d v="2023-08-20T00:00:00"/>
    <s v="CUST219"/>
    <x v="1"/>
    <x v="2"/>
    <n v="53"/>
    <x v="2"/>
    <n v="3"/>
    <n v="30"/>
    <n v="90"/>
    <n v="1.3499999999999999"/>
    <n v="1.8"/>
  </r>
  <r>
    <n v="220"/>
    <n v="3"/>
    <n v="3"/>
    <n v="2023"/>
    <s v="Friday"/>
    <s v="Mar"/>
    <d v="2023-03-03T00:00:00"/>
    <s v="CUST220"/>
    <x v="0"/>
    <x v="2"/>
    <n v="64"/>
    <x v="0"/>
    <n v="1"/>
    <n v="500"/>
    <n v="500"/>
    <n v="7.5"/>
    <n v="10"/>
  </r>
  <r>
    <n v="221"/>
    <n v="7"/>
    <n v="5"/>
    <n v="2023"/>
    <s v="Sunday"/>
    <s v="May"/>
    <d v="2023-05-07T00:00:00"/>
    <s v="CUST221"/>
    <x v="0"/>
    <x v="0"/>
    <n v="39"/>
    <x v="0"/>
    <n v="2"/>
    <n v="300"/>
    <n v="600"/>
    <n v="9"/>
    <n v="12"/>
  </r>
  <r>
    <n v="222"/>
    <n v="26"/>
    <n v="4"/>
    <n v="2023"/>
    <s v="Wednesday"/>
    <s v="Apr"/>
    <d v="2023-04-26T00:00:00"/>
    <s v="CUST222"/>
    <x v="0"/>
    <x v="2"/>
    <n v="51"/>
    <x v="1"/>
    <n v="4"/>
    <n v="30"/>
    <n v="120"/>
    <n v="1.7999999999999998"/>
    <n v="2.4"/>
  </r>
  <r>
    <n v="223"/>
    <n v="2"/>
    <n v="2"/>
    <n v="2023"/>
    <s v="Thursday"/>
    <s v="Feb"/>
    <d v="2023-02-02T00:00:00"/>
    <s v="CUST223"/>
    <x v="1"/>
    <x v="2"/>
    <n v="64"/>
    <x v="1"/>
    <n v="1"/>
    <n v="25"/>
    <n v="25"/>
    <n v="0.375"/>
    <n v="0.5"/>
  </r>
  <r>
    <n v="224"/>
    <n v="23"/>
    <n v="6"/>
    <n v="2023"/>
    <s v="Friday"/>
    <s v="Jun"/>
    <d v="2023-06-23T00:00:00"/>
    <s v="CUST224"/>
    <x v="1"/>
    <x v="1"/>
    <n v="25"/>
    <x v="1"/>
    <n v="1"/>
    <n v="50"/>
    <n v="50"/>
    <n v="0.75"/>
    <n v="1"/>
  </r>
  <r>
    <n v="225"/>
    <n v="11"/>
    <n v="1"/>
    <n v="2023"/>
    <s v="Wednesday"/>
    <s v="Jan"/>
    <d v="2023-01-11T00:00:00"/>
    <s v="CUST225"/>
    <x v="1"/>
    <x v="2"/>
    <n v="57"/>
    <x v="0"/>
    <n v="4"/>
    <n v="25"/>
    <n v="100"/>
    <n v="1.5"/>
    <n v="2"/>
  </r>
  <r>
    <n v="226"/>
    <n v="29"/>
    <n v="10"/>
    <n v="2023"/>
    <s v="Sunday"/>
    <s v="Oct"/>
    <d v="2023-10-29T00:00:00"/>
    <s v="CUST226"/>
    <x v="1"/>
    <x v="2"/>
    <n v="61"/>
    <x v="1"/>
    <n v="1"/>
    <n v="50"/>
    <n v="50"/>
    <n v="0.75"/>
    <n v="1"/>
  </r>
  <r>
    <n v="227"/>
    <n v="11"/>
    <n v="10"/>
    <n v="2023"/>
    <s v="Wednesday"/>
    <s v="Oct"/>
    <d v="2023-10-11T00:00:00"/>
    <s v="CUST227"/>
    <x v="0"/>
    <x v="0"/>
    <n v="36"/>
    <x v="2"/>
    <n v="2"/>
    <n v="50"/>
    <n v="100"/>
    <n v="1.5"/>
    <n v="2"/>
  </r>
  <r>
    <n v="228"/>
    <n v="28"/>
    <n v="4"/>
    <n v="2023"/>
    <s v="Friday"/>
    <s v="Apr"/>
    <d v="2023-04-28T00:00:00"/>
    <s v="CUST228"/>
    <x v="1"/>
    <x v="2"/>
    <n v="59"/>
    <x v="2"/>
    <n v="2"/>
    <n v="30"/>
    <n v="60"/>
    <n v="0.89999999999999991"/>
    <n v="1.2"/>
  </r>
  <r>
    <n v="229"/>
    <n v="29"/>
    <n v="10"/>
    <n v="2023"/>
    <s v="Sunday"/>
    <s v="Oct"/>
    <d v="2023-10-29T00:00:00"/>
    <s v="CUST229"/>
    <x v="0"/>
    <x v="2"/>
    <n v="58"/>
    <x v="0"/>
    <n v="3"/>
    <n v="30"/>
    <n v="90"/>
    <n v="1.3499999999999999"/>
    <n v="1.8"/>
  </r>
  <r>
    <n v="230"/>
    <n v="23"/>
    <n v="4"/>
    <n v="2023"/>
    <s v="Sunday"/>
    <s v="Apr"/>
    <d v="2023-04-23T00:00:00"/>
    <s v="CUST230"/>
    <x v="0"/>
    <x v="2"/>
    <n v="54"/>
    <x v="0"/>
    <n v="1"/>
    <n v="25"/>
    <n v="25"/>
    <n v="0.375"/>
    <n v="0.5"/>
  </r>
  <r>
    <n v="231"/>
    <n v="4"/>
    <n v="1"/>
    <n v="2023"/>
    <s v="Wednesday"/>
    <s v="Jan"/>
    <d v="2023-01-04T00:00:00"/>
    <s v="CUST231"/>
    <x v="1"/>
    <x v="1"/>
    <n v="23"/>
    <x v="1"/>
    <n v="3"/>
    <n v="50"/>
    <n v="150"/>
    <n v="2.25"/>
    <n v="3"/>
  </r>
  <r>
    <n v="232"/>
    <n v="6"/>
    <n v="2"/>
    <n v="2023"/>
    <s v="Monday"/>
    <s v="Feb"/>
    <d v="2023-02-06T00:00:00"/>
    <s v="CUST232"/>
    <x v="1"/>
    <x v="0"/>
    <n v="43"/>
    <x v="0"/>
    <n v="1"/>
    <n v="25"/>
    <n v="25"/>
    <n v="0.375"/>
    <n v="0.5"/>
  </r>
  <r>
    <n v="233"/>
    <n v="29"/>
    <n v="12"/>
    <n v="2023"/>
    <s v="Friday"/>
    <s v="Dec"/>
    <d v="2023-12-29T00:00:00"/>
    <s v="CUST233"/>
    <x v="1"/>
    <x v="2"/>
    <n v="51"/>
    <x v="0"/>
    <n v="2"/>
    <n v="300"/>
    <n v="600"/>
    <n v="9"/>
    <n v="12"/>
  </r>
  <r>
    <n v="234"/>
    <n v="20"/>
    <n v="11"/>
    <n v="2023"/>
    <s v="Monday"/>
    <s v="Nov"/>
    <d v="2023-11-20T00:00:00"/>
    <s v="CUST234"/>
    <x v="1"/>
    <x v="2"/>
    <n v="62"/>
    <x v="2"/>
    <n v="2"/>
    <n v="25"/>
    <n v="50"/>
    <n v="0.75"/>
    <n v="1"/>
  </r>
  <r>
    <n v="235"/>
    <n v="31"/>
    <n v="1"/>
    <n v="2023"/>
    <s v="Tuesday"/>
    <s v="Jan"/>
    <d v="2023-01-31T00:00:00"/>
    <s v="CUST235"/>
    <x v="1"/>
    <x v="1"/>
    <n v="23"/>
    <x v="2"/>
    <n v="2"/>
    <n v="500"/>
    <n v="1000"/>
    <n v="15"/>
    <n v="20"/>
  </r>
  <r>
    <n v="236"/>
    <n v="28"/>
    <n v="4"/>
    <n v="2023"/>
    <s v="Friday"/>
    <s v="Apr"/>
    <d v="2023-04-28T00:00:00"/>
    <s v="CUST236"/>
    <x v="1"/>
    <x v="2"/>
    <n v="54"/>
    <x v="1"/>
    <n v="1"/>
    <n v="25"/>
    <n v="25"/>
    <n v="0.375"/>
    <n v="0.5"/>
  </r>
  <r>
    <n v="237"/>
    <n v="4"/>
    <n v="2"/>
    <n v="2023"/>
    <s v="Saturday"/>
    <s v="Feb"/>
    <d v="2023-02-04T00:00:00"/>
    <s v="CUST237"/>
    <x v="1"/>
    <x v="0"/>
    <n v="50"/>
    <x v="0"/>
    <n v="2"/>
    <n v="500"/>
    <n v="1000"/>
    <n v="15"/>
    <n v="20"/>
  </r>
  <r>
    <n v="238"/>
    <n v="17"/>
    <n v="1"/>
    <n v="2023"/>
    <s v="Tuesday"/>
    <s v="Jan"/>
    <d v="2023-01-17T00:00:00"/>
    <s v="CUST238"/>
    <x v="1"/>
    <x v="0"/>
    <n v="39"/>
    <x v="0"/>
    <n v="1"/>
    <n v="500"/>
    <n v="500"/>
    <n v="7.5"/>
    <n v="10"/>
  </r>
  <r>
    <n v="239"/>
    <n v="19"/>
    <n v="6"/>
    <n v="2023"/>
    <s v="Monday"/>
    <s v="Jun"/>
    <d v="2023-06-19T00:00:00"/>
    <s v="CUST239"/>
    <x v="0"/>
    <x v="0"/>
    <n v="38"/>
    <x v="2"/>
    <n v="3"/>
    <n v="500"/>
    <n v="1500"/>
    <n v="22.5"/>
    <n v="30"/>
  </r>
  <r>
    <n v="240"/>
    <n v="6"/>
    <n v="2"/>
    <n v="2023"/>
    <s v="Monday"/>
    <s v="Feb"/>
    <d v="2023-02-06T00:00:00"/>
    <s v="CUST240"/>
    <x v="1"/>
    <x v="1"/>
    <n v="23"/>
    <x v="0"/>
    <n v="1"/>
    <n v="300"/>
    <n v="300"/>
    <n v="4.5"/>
    <n v="6"/>
  </r>
  <r>
    <n v="241"/>
    <n v="21"/>
    <n v="9"/>
    <n v="2023"/>
    <s v="Thursday"/>
    <s v="Sep"/>
    <d v="2023-09-21T00:00:00"/>
    <s v="CUST241"/>
    <x v="1"/>
    <x v="1"/>
    <n v="23"/>
    <x v="2"/>
    <n v="3"/>
    <n v="25"/>
    <n v="75"/>
    <n v="1.125"/>
    <n v="1.5"/>
  </r>
  <r>
    <n v="242"/>
    <n v="2"/>
    <n v="5"/>
    <n v="2023"/>
    <s v="Tuesday"/>
    <s v="May"/>
    <d v="2023-05-02T00:00:00"/>
    <s v="CUST242"/>
    <x v="0"/>
    <x v="1"/>
    <n v="21"/>
    <x v="1"/>
    <n v="1"/>
    <n v="25"/>
    <n v="25"/>
    <n v="0.375"/>
    <n v="0.5"/>
  </r>
  <r>
    <n v="243"/>
    <n v="23"/>
    <n v="5"/>
    <n v="2023"/>
    <s v="Tuesday"/>
    <s v="May"/>
    <d v="2023-05-23T00:00:00"/>
    <s v="CUST243"/>
    <x v="1"/>
    <x v="0"/>
    <n v="47"/>
    <x v="2"/>
    <n v="3"/>
    <n v="300"/>
    <n v="900"/>
    <n v="13.5"/>
    <n v="18"/>
  </r>
  <r>
    <n v="244"/>
    <n v="9"/>
    <n v="12"/>
    <n v="2023"/>
    <s v="Saturday"/>
    <s v="Dec"/>
    <d v="2023-12-09T00:00:00"/>
    <s v="CUST244"/>
    <x v="0"/>
    <x v="1"/>
    <n v="28"/>
    <x v="0"/>
    <n v="2"/>
    <n v="50"/>
    <n v="100"/>
    <n v="1.5"/>
    <n v="2"/>
  </r>
  <r>
    <n v="245"/>
    <n v="6"/>
    <n v="9"/>
    <n v="2023"/>
    <s v="Wednesday"/>
    <s v="Sep"/>
    <d v="2023-09-06T00:00:00"/>
    <s v="CUST245"/>
    <x v="0"/>
    <x v="0"/>
    <n v="47"/>
    <x v="1"/>
    <n v="3"/>
    <n v="30"/>
    <n v="90"/>
    <n v="1.3499999999999999"/>
    <n v="1.8"/>
  </r>
  <r>
    <n v="246"/>
    <n v="20"/>
    <n v="4"/>
    <n v="2023"/>
    <s v="Thursday"/>
    <s v="Apr"/>
    <d v="2023-04-20T00:00:00"/>
    <s v="CUST246"/>
    <x v="1"/>
    <x v="0"/>
    <n v="48"/>
    <x v="2"/>
    <n v="2"/>
    <n v="25"/>
    <n v="50"/>
    <n v="0.75"/>
    <n v="1"/>
  </r>
  <r>
    <n v="247"/>
    <n v="4"/>
    <n v="10"/>
    <n v="2023"/>
    <s v="Wednesday"/>
    <s v="Oct"/>
    <d v="2023-10-04T00:00:00"/>
    <s v="CUST247"/>
    <x v="0"/>
    <x v="0"/>
    <n v="41"/>
    <x v="2"/>
    <n v="2"/>
    <n v="30"/>
    <n v="60"/>
    <n v="0.89999999999999991"/>
    <n v="1.2"/>
  </r>
  <r>
    <n v="248"/>
    <n v="9"/>
    <n v="3"/>
    <n v="2023"/>
    <s v="Thursday"/>
    <s v="Mar"/>
    <d v="2023-03-09T00:00:00"/>
    <s v="CUST248"/>
    <x v="0"/>
    <x v="1"/>
    <n v="26"/>
    <x v="1"/>
    <n v="3"/>
    <n v="300"/>
    <n v="900"/>
    <n v="13.5"/>
    <n v="18"/>
  </r>
  <r>
    <n v="249"/>
    <n v="20"/>
    <n v="10"/>
    <n v="2023"/>
    <s v="Friday"/>
    <s v="Oct"/>
    <d v="2023-10-20T00:00:00"/>
    <s v="CUST249"/>
    <x v="0"/>
    <x v="1"/>
    <n v="20"/>
    <x v="1"/>
    <n v="1"/>
    <n v="50"/>
    <n v="50"/>
    <n v="0.75"/>
    <n v="1"/>
  </r>
  <r>
    <n v="250"/>
    <n v="23"/>
    <n v="10"/>
    <n v="2023"/>
    <s v="Monday"/>
    <s v="Oct"/>
    <d v="2023-10-23T00:00:00"/>
    <s v="CUST250"/>
    <x v="0"/>
    <x v="0"/>
    <n v="48"/>
    <x v="2"/>
    <n v="1"/>
    <n v="50"/>
    <n v="50"/>
    <n v="0.75"/>
    <n v="1"/>
  </r>
  <r>
    <n v="251"/>
    <n v="31"/>
    <n v="8"/>
    <n v="2023"/>
    <s v="Thursday"/>
    <s v="Aug"/>
    <d v="2023-08-31T00:00:00"/>
    <s v="CUST251"/>
    <x v="1"/>
    <x v="2"/>
    <n v="57"/>
    <x v="0"/>
    <n v="4"/>
    <n v="50"/>
    <n v="200"/>
    <n v="3"/>
    <n v="4"/>
  </r>
  <r>
    <n v="252"/>
    <n v="5"/>
    <n v="5"/>
    <n v="2023"/>
    <s v="Friday"/>
    <s v="May"/>
    <d v="2023-05-05T00:00:00"/>
    <s v="CUST252"/>
    <x v="0"/>
    <x v="2"/>
    <n v="54"/>
    <x v="2"/>
    <n v="1"/>
    <n v="300"/>
    <n v="300"/>
    <n v="4.5"/>
    <n v="6"/>
  </r>
  <r>
    <n v="253"/>
    <n v="31"/>
    <n v="8"/>
    <n v="2023"/>
    <s v="Thursday"/>
    <s v="Aug"/>
    <d v="2023-08-31T00:00:00"/>
    <s v="CUST253"/>
    <x v="1"/>
    <x v="2"/>
    <n v="53"/>
    <x v="1"/>
    <n v="4"/>
    <n v="500"/>
    <n v="2000"/>
    <n v="30"/>
    <n v="40"/>
  </r>
  <r>
    <n v="254"/>
    <n v="28"/>
    <n v="7"/>
    <n v="2023"/>
    <s v="Friday"/>
    <s v="Jul"/>
    <d v="2023-07-28T00:00:00"/>
    <s v="CUST254"/>
    <x v="0"/>
    <x v="0"/>
    <n v="41"/>
    <x v="2"/>
    <n v="1"/>
    <n v="500"/>
    <n v="500"/>
    <n v="7.5"/>
    <n v="10"/>
  </r>
  <r>
    <n v="255"/>
    <n v="8"/>
    <n v="4"/>
    <n v="2023"/>
    <s v="Saturday"/>
    <s v="Apr"/>
    <d v="2023-04-08T00:00:00"/>
    <s v="CUST255"/>
    <x v="0"/>
    <x v="0"/>
    <n v="48"/>
    <x v="1"/>
    <n v="1"/>
    <n v="30"/>
    <n v="30"/>
    <n v="0.44999999999999996"/>
    <n v="0.6"/>
  </r>
  <r>
    <n v="256"/>
    <n v="18"/>
    <n v="2"/>
    <n v="2023"/>
    <s v="Saturday"/>
    <s v="Feb"/>
    <d v="2023-02-18T00:00:00"/>
    <s v="CUST256"/>
    <x v="0"/>
    <x v="1"/>
    <n v="23"/>
    <x v="1"/>
    <n v="2"/>
    <n v="500"/>
    <n v="1000"/>
    <n v="15"/>
    <n v="20"/>
  </r>
  <r>
    <n v="257"/>
    <n v="19"/>
    <n v="2"/>
    <n v="2023"/>
    <s v="Sunday"/>
    <s v="Feb"/>
    <d v="2023-02-19T00:00:00"/>
    <s v="CUST257"/>
    <x v="0"/>
    <x v="1"/>
    <n v="19"/>
    <x v="0"/>
    <n v="4"/>
    <n v="500"/>
    <n v="2000"/>
    <n v="30"/>
    <n v="40"/>
  </r>
  <r>
    <n v="258"/>
    <n v="4"/>
    <n v="12"/>
    <n v="2023"/>
    <s v="Monday"/>
    <s v="Dec"/>
    <d v="2023-12-04T00:00:00"/>
    <s v="CUST258"/>
    <x v="1"/>
    <x v="0"/>
    <n v="37"/>
    <x v="1"/>
    <n v="1"/>
    <n v="50"/>
    <n v="50"/>
    <n v="0.75"/>
    <n v="1"/>
  </r>
  <r>
    <n v="259"/>
    <n v="9"/>
    <n v="8"/>
    <n v="2023"/>
    <s v="Wednesday"/>
    <s v="Aug"/>
    <d v="2023-08-09T00:00:00"/>
    <s v="CUST259"/>
    <x v="1"/>
    <x v="0"/>
    <n v="45"/>
    <x v="1"/>
    <n v="4"/>
    <n v="50"/>
    <n v="200"/>
    <n v="3"/>
    <n v="4"/>
  </r>
  <r>
    <n v="260"/>
    <n v="1"/>
    <n v="7"/>
    <n v="2023"/>
    <s v="Saturday"/>
    <s v="Jul"/>
    <d v="2023-07-01T00:00:00"/>
    <s v="CUST260"/>
    <x v="0"/>
    <x v="1"/>
    <n v="28"/>
    <x v="0"/>
    <n v="2"/>
    <n v="30"/>
    <n v="60"/>
    <n v="0.89999999999999991"/>
    <n v="1.2"/>
  </r>
  <r>
    <n v="261"/>
    <n v="5"/>
    <n v="8"/>
    <n v="2023"/>
    <s v="Saturday"/>
    <s v="Aug"/>
    <d v="2023-08-05T00:00:00"/>
    <s v="CUST261"/>
    <x v="0"/>
    <x v="1"/>
    <n v="21"/>
    <x v="1"/>
    <n v="2"/>
    <n v="25"/>
    <n v="50"/>
    <n v="0.75"/>
    <n v="1"/>
  </r>
  <r>
    <n v="262"/>
    <n v="30"/>
    <n v="7"/>
    <n v="2023"/>
    <s v="Sunday"/>
    <s v="Jul"/>
    <d v="2023-07-30T00:00:00"/>
    <s v="CUST262"/>
    <x v="1"/>
    <x v="0"/>
    <n v="32"/>
    <x v="0"/>
    <n v="4"/>
    <n v="30"/>
    <n v="120"/>
    <n v="1.7999999999999998"/>
    <n v="2.4"/>
  </r>
  <r>
    <n v="263"/>
    <n v="28"/>
    <n v="8"/>
    <n v="2023"/>
    <s v="Monday"/>
    <s v="Aug"/>
    <d v="2023-08-28T00:00:00"/>
    <s v="CUST263"/>
    <x v="0"/>
    <x v="1"/>
    <n v="23"/>
    <x v="0"/>
    <n v="2"/>
    <n v="30"/>
    <n v="60"/>
    <n v="0.89999999999999991"/>
    <n v="1.2"/>
  </r>
  <r>
    <n v="264"/>
    <n v="28"/>
    <n v="1"/>
    <n v="2023"/>
    <s v="Saturday"/>
    <s v="Jan"/>
    <d v="2023-01-28T00:00:00"/>
    <s v="CUST264"/>
    <x v="0"/>
    <x v="0"/>
    <n v="47"/>
    <x v="1"/>
    <n v="3"/>
    <n v="300"/>
    <n v="900"/>
    <n v="13.5"/>
    <n v="18"/>
  </r>
  <r>
    <n v="265"/>
    <n v="11"/>
    <n v="12"/>
    <n v="2023"/>
    <s v="Monday"/>
    <s v="Dec"/>
    <d v="2023-12-11T00:00:00"/>
    <s v="CUST265"/>
    <x v="0"/>
    <x v="2"/>
    <n v="55"/>
    <x v="1"/>
    <n v="3"/>
    <n v="300"/>
    <n v="900"/>
    <n v="13.5"/>
    <n v="18"/>
  </r>
  <r>
    <n v="266"/>
    <n v="1"/>
    <n v="12"/>
    <n v="2023"/>
    <s v="Friday"/>
    <s v="Dec"/>
    <d v="2023-12-01T00:00:00"/>
    <s v="CUST266"/>
    <x v="1"/>
    <x v="1"/>
    <n v="19"/>
    <x v="2"/>
    <n v="2"/>
    <n v="30"/>
    <n v="60"/>
    <n v="0.89999999999999991"/>
    <n v="1.2"/>
  </r>
  <r>
    <n v="267"/>
    <n v="27"/>
    <n v="11"/>
    <n v="2023"/>
    <s v="Monday"/>
    <s v="Nov"/>
    <d v="2023-11-27T00:00:00"/>
    <s v="CUST267"/>
    <x v="1"/>
    <x v="0"/>
    <n v="32"/>
    <x v="0"/>
    <n v="3"/>
    <n v="30"/>
    <n v="90"/>
    <n v="1.3499999999999999"/>
    <n v="1.8"/>
  </r>
  <r>
    <n v="268"/>
    <n v="20"/>
    <n v="2"/>
    <n v="2023"/>
    <s v="Monday"/>
    <s v="Feb"/>
    <d v="2023-02-20T00:00:00"/>
    <s v="CUST268"/>
    <x v="1"/>
    <x v="1"/>
    <n v="28"/>
    <x v="2"/>
    <n v="1"/>
    <n v="30"/>
    <n v="30"/>
    <n v="0.44999999999999996"/>
    <n v="0.6"/>
  </r>
  <r>
    <n v="269"/>
    <n v="1"/>
    <n v="2"/>
    <n v="2023"/>
    <s v="Wednesday"/>
    <s v="Feb"/>
    <d v="2023-02-01T00:00:00"/>
    <s v="CUST269"/>
    <x v="0"/>
    <x v="1"/>
    <n v="25"/>
    <x v="1"/>
    <n v="4"/>
    <n v="500"/>
    <n v="2000"/>
    <n v="30"/>
    <n v="40"/>
  </r>
  <r>
    <n v="270"/>
    <n v="26"/>
    <n v="7"/>
    <n v="2023"/>
    <s v="Wednesday"/>
    <s v="Jul"/>
    <d v="2023-07-26T00:00:00"/>
    <s v="CUST270"/>
    <x v="0"/>
    <x v="0"/>
    <n v="43"/>
    <x v="2"/>
    <n v="1"/>
    <n v="300"/>
    <n v="300"/>
    <n v="4.5"/>
    <n v="6"/>
  </r>
  <r>
    <n v="271"/>
    <n v="23"/>
    <n v="6"/>
    <n v="2023"/>
    <s v="Friday"/>
    <s v="Jun"/>
    <d v="2023-06-23T00:00:00"/>
    <s v="CUST271"/>
    <x v="1"/>
    <x v="2"/>
    <n v="62"/>
    <x v="0"/>
    <n v="4"/>
    <n v="30"/>
    <n v="120"/>
    <n v="1.7999999999999998"/>
    <n v="2.4"/>
  </r>
  <r>
    <n v="272"/>
    <n v="25"/>
    <n v="2"/>
    <n v="2023"/>
    <s v="Saturday"/>
    <s v="Feb"/>
    <d v="2023-02-25T00:00:00"/>
    <s v="CUST272"/>
    <x v="1"/>
    <x v="2"/>
    <n v="61"/>
    <x v="2"/>
    <n v="2"/>
    <n v="50"/>
    <n v="100"/>
    <n v="1.5"/>
    <n v="2"/>
  </r>
  <r>
    <n v="273"/>
    <n v="8"/>
    <n v="5"/>
    <n v="2023"/>
    <s v="Monday"/>
    <s v="May"/>
    <d v="2023-05-08T00:00:00"/>
    <s v="CUST273"/>
    <x v="1"/>
    <x v="1"/>
    <n v="22"/>
    <x v="0"/>
    <n v="1"/>
    <n v="50"/>
    <n v="50"/>
    <n v="0.75"/>
    <n v="1"/>
  </r>
  <r>
    <n v="274"/>
    <n v="9"/>
    <n v="4"/>
    <n v="2023"/>
    <s v="Sunday"/>
    <s v="Apr"/>
    <d v="2023-04-09T00:00:00"/>
    <s v="CUST274"/>
    <x v="1"/>
    <x v="1"/>
    <n v="23"/>
    <x v="1"/>
    <n v="2"/>
    <n v="500"/>
    <n v="1000"/>
    <n v="15"/>
    <n v="20"/>
  </r>
  <r>
    <n v="275"/>
    <n v="8"/>
    <n v="4"/>
    <n v="2023"/>
    <s v="Saturday"/>
    <s v="Apr"/>
    <d v="2023-04-08T00:00:00"/>
    <s v="CUST275"/>
    <x v="0"/>
    <x v="0"/>
    <n v="43"/>
    <x v="1"/>
    <n v="2"/>
    <n v="500"/>
    <n v="1000"/>
    <n v="15"/>
    <n v="20"/>
  </r>
  <r>
    <n v="276"/>
    <n v="2"/>
    <n v="10"/>
    <n v="2023"/>
    <s v="Monday"/>
    <s v="Oct"/>
    <d v="2023-10-02T00:00:00"/>
    <s v="CUST276"/>
    <x v="1"/>
    <x v="1"/>
    <n v="21"/>
    <x v="0"/>
    <n v="4"/>
    <n v="25"/>
    <n v="100"/>
    <n v="1.5"/>
    <n v="2"/>
  </r>
  <r>
    <n v="277"/>
    <n v="18"/>
    <n v="8"/>
    <n v="2023"/>
    <s v="Friday"/>
    <s v="Aug"/>
    <d v="2023-08-18T00:00:00"/>
    <s v="CUST277"/>
    <x v="0"/>
    <x v="0"/>
    <n v="36"/>
    <x v="1"/>
    <n v="4"/>
    <n v="25"/>
    <n v="100"/>
    <n v="1.5"/>
    <n v="2"/>
  </r>
  <r>
    <n v="278"/>
    <n v="13"/>
    <n v="3"/>
    <n v="2023"/>
    <s v="Monday"/>
    <s v="Mar"/>
    <d v="2023-03-13T00:00:00"/>
    <s v="CUST278"/>
    <x v="1"/>
    <x v="0"/>
    <n v="37"/>
    <x v="1"/>
    <n v="4"/>
    <n v="25"/>
    <n v="100"/>
    <n v="1.5"/>
    <n v="2"/>
  </r>
  <r>
    <n v="279"/>
    <n v="5"/>
    <n v="8"/>
    <n v="2023"/>
    <s v="Saturday"/>
    <s v="Aug"/>
    <d v="2023-08-05T00:00:00"/>
    <s v="CUST279"/>
    <x v="0"/>
    <x v="0"/>
    <n v="50"/>
    <x v="1"/>
    <n v="1"/>
    <n v="500"/>
    <n v="500"/>
    <n v="7.5"/>
    <n v="10"/>
  </r>
  <r>
    <n v="280"/>
    <n v="4"/>
    <n v="4"/>
    <n v="2023"/>
    <s v="Tuesday"/>
    <s v="Apr"/>
    <d v="2023-04-04T00:00:00"/>
    <s v="CUST280"/>
    <x v="1"/>
    <x v="0"/>
    <n v="37"/>
    <x v="1"/>
    <n v="3"/>
    <n v="500"/>
    <n v="1500"/>
    <n v="22.5"/>
    <n v="30"/>
  </r>
  <r>
    <n v="281"/>
    <n v="23"/>
    <n v="5"/>
    <n v="2023"/>
    <s v="Tuesday"/>
    <s v="May"/>
    <d v="2023-05-23T00:00:00"/>
    <s v="CUST281"/>
    <x v="1"/>
    <x v="1"/>
    <n v="29"/>
    <x v="0"/>
    <n v="4"/>
    <n v="500"/>
    <n v="2000"/>
    <n v="30"/>
    <n v="40"/>
  </r>
  <r>
    <n v="282"/>
    <n v="25"/>
    <n v="8"/>
    <n v="2023"/>
    <s v="Friday"/>
    <s v="Aug"/>
    <d v="2023-08-25T00:00:00"/>
    <s v="CUST282"/>
    <x v="1"/>
    <x v="2"/>
    <n v="64"/>
    <x v="2"/>
    <n v="4"/>
    <n v="50"/>
    <n v="200"/>
    <n v="3"/>
    <n v="4"/>
  </r>
  <r>
    <n v="283"/>
    <n v="8"/>
    <n v="5"/>
    <n v="2023"/>
    <s v="Monday"/>
    <s v="May"/>
    <d v="2023-05-08T00:00:00"/>
    <s v="CUST283"/>
    <x v="1"/>
    <x v="1"/>
    <n v="18"/>
    <x v="2"/>
    <n v="1"/>
    <n v="500"/>
    <n v="500"/>
    <n v="7.5"/>
    <n v="10"/>
  </r>
  <r>
    <n v="284"/>
    <n v="8"/>
    <n v="2"/>
    <n v="2023"/>
    <s v="Wednesday"/>
    <s v="Feb"/>
    <d v="2023-02-08T00:00:00"/>
    <s v="CUST284"/>
    <x v="0"/>
    <x v="0"/>
    <n v="43"/>
    <x v="1"/>
    <n v="4"/>
    <n v="50"/>
    <n v="200"/>
    <n v="3"/>
    <n v="4"/>
  </r>
  <r>
    <n v="285"/>
    <n v="15"/>
    <n v="8"/>
    <n v="2023"/>
    <s v="Tuesday"/>
    <s v="Aug"/>
    <d v="2023-08-15T00:00:00"/>
    <s v="CUST285"/>
    <x v="1"/>
    <x v="0"/>
    <n v="31"/>
    <x v="2"/>
    <n v="1"/>
    <n v="25"/>
    <n v="25"/>
    <n v="0.375"/>
    <n v="0.5"/>
  </r>
  <r>
    <n v="286"/>
    <n v="9"/>
    <n v="10"/>
    <n v="2023"/>
    <s v="Monday"/>
    <s v="Oct"/>
    <d v="2023-10-09T00:00:00"/>
    <s v="CUST286"/>
    <x v="0"/>
    <x v="2"/>
    <n v="55"/>
    <x v="2"/>
    <n v="2"/>
    <n v="25"/>
    <n v="50"/>
    <n v="0.75"/>
    <n v="1"/>
  </r>
  <r>
    <n v="287"/>
    <n v="20"/>
    <n v="2"/>
    <n v="2023"/>
    <s v="Monday"/>
    <s v="Feb"/>
    <d v="2023-02-20T00:00:00"/>
    <s v="CUST287"/>
    <x v="0"/>
    <x v="2"/>
    <n v="54"/>
    <x v="1"/>
    <n v="4"/>
    <n v="25"/>
    <n v="100"/>
    <n v="1.5"/>
    <n v="2"/>
  </r>
  <r>
    <n v="288"/>
    <n v="26"/>
    <n v="1"/>
    <n v="2023"/>
    <s v="Thursday"/>
    <s v="Jan"/>
    <d v="2023-01-26T00:00:00"/>
    <s v="CUST288"/>
    <x v="0"/>
    <x v="1"/>
    <n v="28"/>
    <x v="1"/>
    <n v="4"/>
    <n v="30"/>
    <n v="120"/>
    <n v="1.7999999999999998"/>
    <n v="2.4"/>
  </r>
  <r>
    <n v="289"/>
    <n v="30"/>
    <n v="11"/>
    <n v="2023"/>
    <s v="Thursday"/>
    <s v="Nov"/>
    <d v="2023-11-30T00:00:00"/>
    <s v="CUST289"/>
    <x v="0"/>
    <x v="2"/>
    <n v="53"/>
    <x v="2"/>
    <n v="2"/>
    <n v="30"/>
    <n v="60"/>
    <n v="0.89999999999999991"/>
    <n v="1.2"/>
  </r>
  <r>
    <n v="290"/>
    <n v="4"/>
    <n v="10"/>
    <n v="2023"/>
    <s v="Wednesday"/>
    <s v="Oct"/>
    <d v="2023-10-04T00:00:00"/>
    <s v="CUST290"/>
    <x v="1"/>
    <x v="0"/>
    <n v="30"/>
    <x v="0"/>
    <n v="2"/>
    <n v="300"/>
    <n v="600"/>
    <n v="9"/>
    <n v="12"/>
  </r>
  <r>
    <n v="291"/>
    <n v="8"/>
    <n v="1"/>
    <n v="2023"/>
    <s v="Sunday"/>
    <s v="Jan"/>
    <d v="2023-01-08T00:00:00"/>
    <s v="CUST291"/>
    <x v="0"/>
    <x v="2"/>
    <n v="60"/>
    <x v="1"/>
    <n v="2"/>
    <n v="300"/>
    <n v="600"/>
    <n v="9"/>
    <n v="12"/>
  </r>
  <r>
    <n v="292"/>
    <n v="17"/>
    <n v="2"/>
    <n v="2023"/>
    <s v="Friday"/>
    <s v="Feb"/>
    <d v="2023-02-17T00:00:00"/>
    <s v="CUST292"/>
    <x v="0"/>
    <x v="1"/>
    <n v="20"/>
    <x v="0"/>
    <n v="4"/>
    <n v="300"/>
    <n v="1200"/>
    <n v="18"/>
    <n v="24"/>
  </r>
  <r>
    <n v="293"/>
    <n v="2"/>
    <n v="5"/>
    <n v="2023"/>
    <s v="Tuesday"/>
    <s v="May"/>
    <d v="2023-05-02T00:00:00"/>
    <s v="CUST293"/>
    <x v="0"/>
    <x v="0"/>
    <n v="50"/>
    <x v="2"/>
    <n v="3"/>
    <n v="30"/>
    <n v="90"/>
    <n v="1.3499999999999999"/>
    <n v="1.8"/>
  </r>
  <r>
    <n v="294"/>
    <n v="27"/>
    <n v="3"/>
    <n v="2023"/>
    <s v="Monday"/>
    <s v="Mar"/>
    <d v="2023-03-27T00:00:00"/>
    <s v="CUST294"/>
    <x v="1"/>
    <x v="1"/>
    <n v="23"/>
    <x v="1"/>
    <n v="3"/>
    <n v="30"/>
    <n v="90"/>
    <n v="1.3499999999999999"/>
    <n v="1.8"/>
  </r>
  <r>
    <n v="295"/>
    <n v="28"/>
    <n v="7"/>
    <n v="2023"/>
    <s v="Friday"/>
    <s v="Jul"/>
    <d v="2023-07-28T00:00:00"/>
    <s v="CUST295"/>
    <x v="1"/>
    <x v="1"/>
    <n v="27"/>
    <x v="0"/>
    <n v="3"/>
    <n v="300"/>
    <n v="900"/>
    <n v="13.5"/>
    <n v="18"/>
  </r>
  <r>
    <n v="296"/>
    <n v="6"/>
    <n v="9"/>
    <n v="2023"/>
    <s v="Wednesday"/>
    <s v="Sep"/>
    <d v="2023-09-06T00:00:00"/>
    <s v="CUST296"/>
    <x v="1"/>
    <x v="1"/>
    <n v="22"/>
    <x v="1"/>
    <n v="4"/>
    <n v="300"/>
    <n v="1200"/>
    <n v="18"/>
    <n v="24"/>
  </r>
  <r>
    <n v="297"/>
    <n v="4"/>
    <n v="9"/>
    <n v="2023"/>
    <s v="Monday"/>
    <s v="Sep"/>
    <d v="2023-09-04T00:00:00"/>
    <s v="CUST297"/>
    <x v="1"/>
    <x v="0"/>
    <n v="40"/>
    <x v="2"/>
    <n v="2"/>
    <n v="500"/>
    <n v="1000"/>
    <n v="15"/>
    <n v="20"/>
  </r>
  <r>
    <n v="298"/>
    <n v="20"/>
    <n v="4"/>
    <n v="2023"/>
    <s v="Thursday"/>
    <s v="Apr"/>
    <d v="2023-04-20T00:00:00"/>
    <s v="CUST298"/>
    <x v="0"/>
    <x v="1"/>
    <n v="27"/>
    <x v="0"/>
    <n v="4"/>
    <n v="300"/>
    <n v="1200"/>
    <n v="18"/>
    <n v="24"/>
  </r>
  <r>
    <n v="299"/>
    <n v="25"/>
    <n v="7"/>
    <n v="2023"/>
    <s v="Tuesday"/>
    <s v="Jul"/>
    <d v="2023-07-25T00:00:00"/>
    <s v="CUST299"/>
    <x v="0"/>
    <x v="2"/>
    <n v="61"/>
    <x v="2"/>
    <n v="2"/>
    <n v="500"/>
    <n v="1000"/>
    <n v="15"/>
    <n v="20"/>
  </r>
  <r>
    <n v="300"/>
    <n v="31"/>
    <n v="1"/>
    <n v="2023"/>
    <s v="Tuesday"/>
    <s v="Jan"/>
    <d v="2023-01-31T00:00:00"/>
    <s v="CUST300"/>
    <x v="1"/>
    <x v="1"/>
    <n v="19"/>
    <x v="2"/>
    <n v="4"/>
    <n v="50"/>
    <n v="200"/>
    <n v="3"/>
    <n v="4"/>
  </r>
  <r>
    <n v="301"/>
    <n v="26"/>
    <n v="3"/>
    <n v="2023"/>
    <s v="Sunday"/>
    <s v="Mar"/>
    <d v="2023-03-26T00:00:00"/>
    <s v="CUST301"/>
    <x v="0"/>
    <x v="0"/>
    <n v="30"/>
    <x v="1"/>
    <n v="4"/>
    <n v="30"/>
    <n v="120"/>
    <n v="1.7999999999999998"/>
    <n v="2.4"/>
  </r>
  <r>
    <n v="302"/>
    <n v="14"/>
    <n v="7"/>
    <n v="2023"/>
    <s v="Friday"/>
    <s v="Jul"/>
    <d v="2023-07-14T00:00:00"/>
    <s v="CUST302"/>
    <x v="0"/>
    <x v="2"/>
    <n v="57"/>
    <x v="0"/>
    <n v="2"/>
    <n v="300"/>
    <n v="600"/>
    <n v="9"/>
    <n v="12"/>
  </r>
  <r>
    <n v="303"/>
    <n v="2"/>
    <n v="1"/>
    <n v="2023"/>
    <s v="Monday"/>
    <s v="Jan"/>
    <d v="2023-01-02T00:00:00"/>
    <s v="CUST303"/>
    <x v="0"/>
    <x v="1"/>
    <n v="19"/>
    <x v="2"/>
    <n v="3"/>
    <n v="30"/>
    <n v="90"/>
    <n v="1.3499999999999999"/>
    <n v="1.8"/>
  </r>
  <r>
    <n v="304"/>
    <n v="19"/>
    <n v="7"/>
    <n v="2023"/>
    <s v="Wednesday"/>
    <s v="Jul"/>
    <d v="2023-07-19T00:00:00"/>
    <s v="CUST304"/>
    <x v="1"/>
    <x v="0"/>
    <n v="37"/>
    <x v="2"/>
    <n v="2"/>
    <n v="30"/>
    <n v="60"/>
    <n v="0.89999999999999991"/>
    <n v="1.2"/>
  </r>
  <r>
    <n v="305"/>
    <n v="16"/>
    <n v="5"/>
    <n v="2023"/>
    <s v="Tuesday"/>
    <s v="May"/>
    <d v="2023-05-16T00:00:00"/>
    <s v="CUST305"/>
    <x v="1"/>
    <x v="1"/>
    <n v="18"/>
    <x v="0"/>
    <n v="1"/>
    <n v="30"/>
    <n v="30"/>
    <n v="0.44999999999999996"/>
    <n v="0.6"/>
  </r>
  <r>
    <n v="306"/>
    <n v="21"/>
    <n v="8"/>
    <n v="2023"/>
    <s v="Monday"/>
    <s v="Aug"/>
    <d v="2023-08-21T00:00:00"/>
    <s v="CUST306"/>
    <x v="0"/>
    <x v="2"/>
    <n v="54"/>
    <x v="2"/>
    <n v="1"/>
    <n v="50"/>
    <n v="50"/>
    <n v="0.75"/>
    <n v="1"/>
  </r>
  <r>
    <n v="307"/>
    <n v="27"/>
    <n v="5"/>
    <n v="2023"/>
    <s v="Saturday"/>
    <s v="May"/>
    <d v="2023-05-27T00:00:00"/>
    <s v="CUST307"/>
    <x v="1"/>
    <x v="1"/>
    <n v="26"/>
    <x v="2"/>
    <n v="2"/>
    <n v="25"/>
    <n v="50"/>
    <n v="0.75"/>
    <n v="1"/>
  </r>
  <r>
    <n v="308"/>
    <n v="5"/>
    <n v="8"/>
    <n v="2023"/>
    <s v="Saturday"/>
    <s v="Aug"/>
    <d v="2023-08-05T00:00:00"/>
    <s v="CUST308"/>
    <x v="1"/>
    <x v="0"/>
    <n v="34"/>
    <x v="0"/>
    <n v="4"/>
    <n v="300"/>
    <n v="1200"/>
    <n v="18"/>
    <n v="24"/>
  </r>
  <r>
    <n v="309"/>
    <n v="23"/>
    <n v="12"/>
    <n v="2023"/>
    <s v="Saturday"/>
    <s v="Dec"/>
    <d v="2023-12-23T00:00:00"/>
    <s v="CUST309"/>
    <x v="1"/>
    <x v="1"/>
    <n v="26"/>
    <x v="0"/>
    <n v="1"/>
    <n v="25"/>
    <n v="25"/>
    <n v="0.375"/>
    <n v="0.5"/>
  </r>
  <r>
    <n v="310"/>
    <n v="12"/>
    <n v="10"/>
    <n v="2023"/>
    <s v="Thursday"/>
    <s v="Oct"/>
    <d v="2023-10-12T00:00:00"/>
    <s v="CUST310"/>
    <x v="1"/>
    <x v="1"/>
    <n v="28"/>
    <x v="0"/>
    <n v="1"/>
    <n v="25"/>
    <n v="25"/>
    <n v="0.375"/>
    <n v="0.5"/>
  </r>
  <r>
    <n v="311"/>
    <n v="5"/>
    <n v="12"/>
    <n v="2023"/>
    <s v="Tuesday"/>
    <s v="Dec"/>
    <d v="2023-12-05T00:00:00"/>
    <s v="CUST311"/>
    <x v="1"/>
    <x v="0"/>
    <n v="32"/>
    <x v="0"/>
    <n v="4"/>
    <n v="25"/>
    <n v="100"/>
    <n v="1.5"/>
    <n v="2"/>
  </r>
  <r>
    <n v="312"/>
    <n v="7"/>
    <n v="9"/>
    <n v="2023"/>
    <s v="Thursday"/>
    <s v="Sep"/>
    <d v="2023-09-07T00:00:00"/>
    <s v="CUST312"/>
    <x v="0"/>
    <x v="0"/>
    <n v="41"/>
    <x v="1"/>
    <n v="4"/>
    <n v="30"/>
    <n v="120"/>
    <n v="1.7999999999999998"/>
    <n v="2.4"/>
  </r>
  <r>
    <n v="313"/>
    <n v="21"/>
    <n v="3"/>
    <n v="2023"/>
    <s v="Tuesday"/>
    <s v="Mar"/>
    <d v="2023-03-21T00:00:00"/>
    <s v="CUST313"/>
    <x v="1"/>
    <x v="2"/>
    <n v="55"/>
    <x v="0"/>
    <n v="3"/>
    <n v="500"/>
    <n v="1500"/>
    <n v="22.5"/>
    <n v="30"/>
  </r>
  <r>
    <n v="314"/>
    <n v="8"/>
    <n v="4"/>
    <n v="2023"/>
    <s v="Saturday"/>
    <s v="Apr"/>
    <d v="2023-04-08T00:00:00"/>
    <s v="CUST314"/>
    <x v="0"/>
    <x v="2"/>
    <n v="52"/>
    <x v="1"/>
    <n v="4"/>
    <n v="30"/>
    <n v="120"/>
    <n v="1.7999999999999998"/>
    <n v="2.4"/>
  </r>
  <r>
    <n v="315"/>
    <n v="1"/>
    <n v="6"/>
    <n v="2023"/>
    <s v="Thursday"/>
    <s v="Jun"/>
    <d v="2023-06-01T00:00:00"/>
    <s v="CUST315"/>
    <x v="0"/>
    <x v="0"/>
    <n v="47"/>
    <x v="1"/>
    <n v="2"/>
    <n v="30"/>
    <n v="60"/>
    <n v="0.89999999999999991"/>
    <n v="1.2"/>
  </r>
  <r>
    <n v="316"/>
    <n v="22"/>
    <n v="4"/>
    <n v="2023"/>
    <s v="Saturday"/>
    <s v="Apr"/>
    <d v="2023-04-22T00:00:00"/>
    <s v="CUST316"/>
    <x v="1"/>
    <x v="0"/>
    <n v="48"/>
    <x v="1"/>
    <n v="2"/>
    <n v="25"/>
    <n v="50"/>
    <n v="0.75"/>
    <n v="1"/>
  </r>
  <r>
    <n v="317"/>
    <n v="30"/>
    <n v="1"/>
    <n v="2023"/>
    <s v="Monday"/>
    <s v="Jan"/>
    <d v="2023-01-30T00:00:00"/>
    <s v="CUST317"/>
    <x v="0"/>
    <x v="1"/>
    <n v="22"/>
    <x v="2"/>
    <n v="3"/>
    <n v="30"/>
    <n v="90"/>
    <n v="1.3499999999999999"/>
    <n v="1.8"/>
  </r>
  <r>
    <n v="318"/>
    <n v="24"/>
    <n v="10"/>
    <n v="2023"/>
    <s v="Tuesday"/>
    <s v="Oct"/>
    <d v="2023-10-24T00:00:00"/>
    <s v="CUST318"/>
    <x v="0"/>
    <x v="2"/>
    <n v="61"/>
    <x v="1"/>
    <n v="1"/>
    <n v="25"/>
    <n v="25"/>
    <n v="0.375"/>
    <n v="0.5"/>
  </r>
  <r>
    <n v="319"/>
    <n v="5"/>
    <n v="10"/>
    <n v="2023"/>
    <s v="Thursday"/>
    <s v="Oct"/>
    <d v="2023-10-05T00:00:00"/>
    <s v="CUST319"/>
    <x v="0"/>
    <x v="0"/>
    <n v="31"/>
    <x v="1"/>
    <n v="1"/>
    <n v="500"/>
    <n v="500"/>
    <n v="7.5"/>
    <n v="10"/>
  </r>
  <r>
    <n v="320"/>
    <n v="1"/>
    <n v="2"/>
    <n v="2023"/>
    <s v="Wednesday"/>
    <s v="Feb"/>
    <d v="2023-02-01T00:00:00"/>
    <s v="CUST320"/>
    <x v="1"/>
    <x v="1"/>
    <n v="28"/>
    <x v="2"/>
    <n v="4"/>
    <n v="300"/>
    <n v="1200"/>
    <n v="18"/>
    <n v="24"/>
  </r>
  <r>
    <n v="321"/>
    <n v="10"/>
    <n v="6"/>
    <n v="2023"/>
    <s v="Saturday"/>
    <s v="Jun"/>
    <d v="2023-06-10T00:00:00"/>
    <s v="CUST321"/>
    <x v="1"/>
    <x v="1"/>
    <n v="26"/>
    <x v="2"/>
    <n v="2"/>
    <n v="25"/>
    <n v="50"/>
    <n v="0.75"/>
    <n v="1"/>
  </r>
  <r>
    <n v="322"/>
    <n v="30"/>
    <n v="1"/>
    <n v="2023"/>
    <s v="Monday"/>
    <s v="Jan"/>
    <d v="2023-01-30T00:00:00"/>
    <s v="CUST322"/>
    <x v="0"/>
    <x v="2"/>
    <n v="51"/>
    <x v="2"/>
    <n v="1"/>
    <n v="500"/>
    <n v="500"/>
    <n v="7.5"/>
    <n v="10"/>
  </r>
  <r>
    <n v="323"/>
    <n v="26"/>
    <n v="1"/>
    <n v="2023"/>
    <s v="Thursday"/>
    <s v="Jan"/>
    <d v="2023-01-26T00:00:00"/>
    <s v="CUST323"/>
    <x v="1"/>
    <x v="1"/>
    <n v="29"/>
    <x v="0"/>
    <n v="3"/>
    <n v="300"/>
    <n v="900"/>
    <n v="13.5"/>
    <n v="18"/>
  </r>
  <r>
    <n v="324"/>
    <n v="27"/>
    <n v="10"/>
    <n v="2023"/>
    <s v="Friday"/>
    <s v="Oct"/>
    <d v="2023-10-27T00:00:00"/>
    <s v="CUST324"/>
    <x v="1"/>
    <x v="2"/>
    <n v="52"/>
    <x v="2"/>
    <n v="3"/>
    <n v="50"/>
    <n v="150"/>
    <n v="2.25"/>
    <n v="3"/>
  </r>
  <r>
    <n v="325"/>
    <n v="2"/>
    <n v="9"/>
    <n v="2023"/>
    <s v="Saturday"/>
    <s v="Sep"/>
    <d v="2023-09-02T00:00:00"/>
    <s v="CUST325"/>
    <x v="1"/>
    <x v="2"/>
    <n v="52"/>
    <x v="2"/>
    <n v="2"/>
    <n v="25"/>
    <n v="50"/>
    <n v="0.75"/>
    <n v="1"/>
  </r>
  <r>
    <n v="326"/>
    <n v="15"/>
    <n v="9"/>
    <n v="2023"/>
    <s v="Friday"/>
    <s v="Sep"/>
    <d v="2023-09-15T00:00:00"/>
    <s v="CUST326"/>
    <x v="1"/>
    <x v="1"/>
    <n v="18"/>
    <x v="1"/>
    <n v="3"/>
    <n v="25"/>
    <n v="75"/>
    <n v="1.125"/>
    <n v="1.5"/>
  </r>
  <r>
    <n v="327"/>
    <n v="29"/>
    <n v="9"/>
    <n v="2023"/>
    <s v="Friday"/>
    <s v="Sep"/>
    <d v="2023-09-29T00:00:00"/>
    <s v="CUST327"/>
    <x v="0"/>
    <x v="2"/>
    <n v="57"/>
    <x v="2"/>
    <n v="3"/>
    <n v="50"/>
    <n v="150"/>
    <n v="2.25"/>
    <n v="3"/>
  </r>
  <r>
    <n v="328"/>
    <n v="22"/>
    <n v="3"/>
    <n v="2023"/>
    <s v="Wednesday"/>
    <s v="Mar"/>
    <d v="2023-03-22T00:00:00"/>
    <s v="CUST328"/>
    <x v="0"/>
    <x v="0"/>
    <n v="39"/>
    <x v="0"/>
    <n v="2"/>
    <n v="50"/>
    <n v="100"/>
    <n v="1.5"/>
    <n v="2"/>
  </r>
  <r>
    <n v="329"/>
    <n v="30"/>
    <n v="1"/>
    <n v="2023"/>
    <s v="Monday"/>
    <s v="Jan"/>
    <d v="2023-01-30T00:00:00"/>
    <s v="CUST329"/>
    <x v="1"/>
    <x v="0"/>
    <n v="46"/>
    <x v="2"/>
    <n v="4"/>
    <n v="25"/>
    <n v="100"/>
    <n v="1.5"/>
    <n v="2"/>
  </r>
  <r>
    <n v="330"/>
    <n v="18"/>
    <n v="9"/>
    <n v="2023"/>
    <s v="Monday"/>
    <s v="Sep"/>
    <d v="2023-09-18T00:00:00"/>
    <s v="CUST330"/>
    <x v="1"/>
    <x v="1"/>
    <n v="25"/>
    <x v="0"/>
    <n v="4"/>
    <n v="50"/>
    <n v="200"/>
    <n v="3"/>
    <n v="4"/>
  </r>
  <r>
    <n v="331"/>
    <n v="11"/>
    <n v="2"/>
    <n v="2023"/>
    <s v="Saturday"/>
    <s v="Feb"/>
    <d v="2023-02-11T00:00:00"/>
    <s v="CUST331"/>
    <x v="0"/>
    <x v="1"/>
    <n v="28"/>
    <x v="2"/>
    <n v="3"/>
    <n v="30"/>
    <n v="90"/>
    <n v="1.3499999999999999"/>
    <n v="1.8"/>
  </r>
  <r>
    <n v="332"/>
    <n v="6"/>
    <n v="4"/>
    <n v="2023"/>
    <s v="Thursday"/>
    <s v="Apr"/>
    <d v="2023-04-06T00:00:00"/>
    <s v="CUST332"/>
    <x v="0"/>
    <x v="2"/>
    <n v="58"/>
    <x v="2"/>
    <n v="4"/>
    <n v="300"/>
    <n v="1200"/>
    <n v="18"/>
    <n v="24"/>
  </r>
  <r>
    <n v="333"/>
    <n v="5"/>
    <n v="2"/>
    <n v="2023"/>
    <s v="Sunday"/>
    <s v="Feb"/>
    <d v="2023-02-05T00:00:00"/>
    <s v="CUST333"/>
    <x v="1"/>
    <x v="2"/>
    <n v="54"/>
    <x v="2"/>
    <n v="4"/>
    <n v="300"/>
    <n v="1200"/>
    <n v="18"/>
    <n v="24"/>
  </r>
  <r>
    <n v="334"/>
    <n v="1"/>
    <n v="11"/>
    <n v="2023"/>
    <s v="Wednesday"/>
    <s v="Nov"/>
    <d v="2023-11-01T00:00:00"/>
    <s v="CUST334"/>
    <x v="0"/>
    <x v="0"/>
    <n v="31"/>
    <x v="2"/>
    <n v="3"/>
    <n v="300"/>
    <n v="900"/>
    <n v="13.5"/>
    <n v="18"/>
  </r>
  <r>
    <n v="335"/>
    <n v="4"/>
    <n v="2"/>
    <n v="2023"/>
    <s v="Saturday"/>
    <s v="Feb"/>
    <d v="2023-02-04T00:00:00"/>
    <s v="CUST335"/>
    <x v="1"/>
    <x v="0"/>
    <n v="47"/>
    <x v="0"/>
    <n v="4"/>
    <n v="30"/>
    <n v="120"/>
    <n v="1.7999999999999998"/>
    <n v="2.4"/>
  </r>
  <r>
    <n v="336"/>
    <n v="12"/>
    <n v="12"/>
    <n v="2023"/>
    <s v="Tuesday"/>
    <s v="Dec"/>
    <d v="2023-12-12T00:00:00"/>
    <s v="CUST336"/>
    <x v="1"/>
    <x v="2"/>
    <n v="52"/>
    <x v="0"/>
    <n v="3"/>
    <n v="50"/>
    <n v="150"/>
    <n v="2.25"/>
    <n v="3"/>
  </r>
  <r>
    <n v="337"/>
    <n v="1"/>
    <n v="5"/>
    <n v="2023"/>
    <s v="Monday"/>
    <s v="May"/>
    <d v="2023-05-01T00:00:00"/>
    <s v="CUST337"/>
    <x v="0"/>
    <x v="0"/>
    <n v="38"/>
    <x v="1"/>
    <n v="1"/>
    <n v="500"/>
    <n v="500"/>
    <n v="7.5"/>
    <n v="10"/>
  </r>
  <r>
    <n v="338"/>
    <n v="26"/>
    <n v="7"/>
    <n v="2023"/>
    <s v="Wednesday"/>
    <s v="Jul"/>
    <d v="2023-07-26T00:00:00"/>
    <s v="CUST338"/>
    <x v="0"/>
    <x v="2"/>
    <n v="54"/>
    <x v="0"/>
    <n v="2"/>
    <n v="50"/>
    <n v="100"/>
    <n v="1.5"/>
    <n v="2"/>
  </r>
  <r>
    <n v="339"/>
    <n v="3"/>
    <n v="3"/>
    <n v="2023"/>
    <s v="Friday"/>
    <s v="Mar"/>
    <d v="2023-03-03T00:00:00"/>
    <s v="CUST339"/>
    <x v="1"/>
    <x v="1"/>
    <n v="22"/>
    <x v="2"/>
    <n v="2"/>
    <n v="25"/>
    <n v="50"/>
    <n v="0.75"/>
    <n v="1"/>
  </r>
  <r>
    <n v="340"/>
    <n v="19"/>
    <n v="10"/>
    <n v="2023"/>
    <s v="Thursday"/>
    <s v="Oct"/>
    <d v="2023-10-19T00:00:00"/>
    <s v="CUST340"/>
    <x v="1"/>
    <x v="0"/>
    <n v="36"/>
    <x v="1"/>
    <n v="4"/>
    <n v="300"/>
    <n v="1200"/>
    <n v="18"/>
    <n v="24"/>
  </r>
  <r>
    <n v="341"/>
    <n v="7"/>
    <n v="5"/>
    <n v="2023"/>
    <s v="Sunday"/>
    <s v="May"/>
    <d v="2023-05-07T00:00:00"/>
    <s v="CUST341"/>
    <x v="0"/>
    <x v="0"/>
    <n v="31"/>
    <x v="1"/>
    <n v="4"/>
    <n v="50"/>
    <n v="200"/>
    <n v="3"/>
    <n v="4"/>
  </r>
  <r>
    <n v="342"/>
    <n v="24"/>
    <n v="10"/>
    <n v="2023"/>
    <s v="Tuesday"/>
    <s v="Oct"/>
    <d v="2023-10-24T00:00:00"/>
    <s v="CUST342"/>
    <x v="1"/>
    <x v="0"/>
    <n v="43"/>
    <x v="1"/>
    <n v="4"/>
    <n v="500"/>
    <n v="2000"/>
    <n v="30"/>
    <n v="40"/>
  </r>
  <r>
    <n v="343"/>
    <n v="1"/>
    <n v="11"/>
    <n v="2023"/>
    <s v="Wednesday"/>
    <s v="Nov"/>
    <d v="2023-11-01T00:00:00"/>
    <s v="CUST343"/>
    <x v="0"/>
    <x v="1"/>
    <n v="21"/>
    <x v="2"/>
    <n v="2"/>
    <n v="25"/>
    <n v="50"/>
    <n v="0.75"/>
    <n v="1"/>
  </r>
  <r>
    <n v="344"/>
    <n v="21"/>
    <n v="1"/>
    <n v="2023"/>
    <s v="Saturday"/>
    <s v="Jan"/>
    <d v="2023-01-21T00:00:00"/>
    <s v="CUST344"/>
    <x v="1"/>
    <x v="0"/>
    <n v="42"/>
    <x v="0"/>
    <n v="1"/>
    <n v="30"/>
    <n v="30"/>
    <n v="0.44999999999999996"/>
    <n v="0.6"/>
  </r>
  <r>
    <n v="345"/>
    <n v="14"/>
    <n v="11"/>
    <n v="2023"/>
    <s v="Tuesday"/>
    <s v="Nov"/>
    <d v="2023-11-14T00:00:00"/>
    <s v="CUST345"/>
    <x v="0"/>
    <x v="2"/>
    <n v="62"/>
    <x v="2"/>
    <n v="1"/>
    <n v="30"/>
    <n v="30"/>
    <n v="0.44999999999999996"/>
    <n v="0.6"/>
  </r>
  <r>
    <n v="346"/>
    <n v="11"/>
    <n v="2"/>
    <n v="2023"/>
    <s v="Saturday"/>
    <s v="Feb"/>
    <d v="2023-02-11T00:00:00"/>
    <s v="CUST346"/>
    <x v="0"/>
    <x v="2"/>
    <n v="59"/>
    <x v="1"/>
    <n v="2"/>
    <n v="500"/>
    <n v="1000"/>
    <n v="15"/>
    <n v="20"/>
  </r>
  <r>
    <n v="347"/>
    <n v="3"/>
    <n v="8"/>
    <n v="2023"/>
    <s v="Thursday"/>
    <s v="Aug"/>
    <d v="2023-08-03T00:00:00"/>
    <s v="CUST347"/>
    <x v="0"/>
    <x v="0"/>
    <n v="42"/>
    <x v="2"/>
    <n v="1"/>
    <n v="25"/>
    <n v="25"/>
    <n v="0.375"/>
    <n v="0.5"/>
  </r>
  <r>
    <n v="348"/>
    <n v="3"/>
    <n v="12"/>
    <n v="2023"/>
    <s v="Sunday"/>
    <s v="Dec"/>
    <d v="2023-12-03T00:00:00"/>
    <s v="CUST348"/>
    <x v="1"/>
    <x v="0"/>
    <n v="35"/>
    <x v="2"/>
    <n v="2"/>
    <n v="300"/>
    <n v="600"/>
    <n v="9"/>
    <n v="12"/>
  </r>
  <r>
    <n v="349"/>
    <n v="26"/>
    <n v="10"/>
    <n v="2023"/>
    <s v="Thursday"/>
    <s v="Oct"/>
    <d v="2023-10-26T00:00:00"/>
    <s v="CUST349"/>
    <x v="1"/>
    <x v="2"/>
    <n v="57"/>
    <x v="0"/>
    <n v="1"/>
    <n v="50"/>
    <n v="50"/>
    <n v="0.75"/>
    <n v="1"/>
  </r>
  <r>
    <n v="350"/>
    <n v="17"/>
    <n v="10"/>
    <n v="2023"/>
    <s v="Tuesday"/>
    <s v="Oct"/>
    <d v="2023-10-17T00:00:00"/>
    <s v="CUST350"/>
    <x v="0"/>
    <x v="1"/>
    <n v="25"/>
    <x v="0"/>
    <n v="3"/>
    <n v="25"/>
    <n v="75"/>
    <n v="1.125"/>
    <n v="1.5"/>
  </r>
  <r>
    <n v="351"/>
    <n v="25"/>
    <n v="9"/>
    <n v="2023"/>
    <s v="Monday"/>
    <s v="Sep"/>
    <d v="2023-09-25T00:00:00"/>
    <s v="CUST351"/>
    <x v="1"/>
    <x v="2"/>
    <n v="56"/>
    <x v="1"/>
    <n v="3"/>
    <n v="30"/>
    <n v="90"/>
    <n v="1.3499999999999999"/>
    <n v="1.8"/>
  </r>
  <r>
    <n v="352"/>
    <n v="11"/>
    <n v="6"/>
    <n v="2023"/>
    <s v="Sunday"/>
    <s v="Jun"/>
    <d v="2023-06-11T00:00:00"/>
    <s v="CUST352"/>
    <x v="0"/>
    <x v="2"/>
    <n v="57"/>
    <x v="2"/>
    <n v="2"/>
    <n v="500"/>
    <n v="1000"/>
    <n v="15"/>
    <n v="20"/>
  </r>
  <r>
    <n v="353"/>
    <n v="14"/>
    <n v="5"/>
    <n v="2023"/>
    <s v="Sunday"/>
    <s v="May"/>
    <d v="2023-05-14T00:00:00"/>
    <s v="CUST353"/>
    <x v="0"/>
    <x v="0"/>
    <n v="31"/>
    <x v="2"/>
    <n v="1"/>
    <n v="500"/>
    <n v="500"/>
    <n v="7.5"/>
    <n v="10"/>
  </r>
  <r>
    <n v="354"/>
    <n v="15"/>
    <n v="4"/>
    <n v="2023"/>
    <s v="Saturday"/>
    <s v="Apr"/>
    <d v="2023-04-15T00:00:00"/>
    <s v="CUST354"/>
    <x v="1"/>
    <x v="0"/>
    <n v="49"/>
    <x v="0"/>
    <n v="4"/>
    <n v="50"/>
    <n v="200"/>
    <n v="3"/>
    <n v="4"/>
  </r>
  <r>
    <n v="355"/>
    <n v="9"/>
    <n v="12"/>
    <n v="2023"/>
    <s v="Saturday"/>
    <s v="Dec"/>
    <d v="2023-12-09T00:00:00"/>
    <s v="CUST355"/>
    <x v="1"/>
    <x v="2"/>
    <n v="55"/>
    <x v="2"/>
    <n v="1"/>
    <n v="500"/>
    <n v="500"/>
    <n v="7.5"/>
    <n v="10"/>
  </r>
  <r>
    <n v="356"/>
    <n v="10"/>
    <n v="6"/>
    <n v="2023"/>
    <s v="Saturday"/>
    <s v="Jun"/>
    <d v="2023-06-10T00:00:00"/>
    <s v="CUST356"/>
    <x v="0"/>
    <x v="0"/>
    <n v="50"/>
    <x v="2"/>
    <n v="3"/>
    <n v="500"/>
    <n v="1500"/>
    <n v="22.5"/>
    <n v="30"/>
  </r>
  <r>
    <n v="357"/>
    <n v="3"/>
    <n v="5"/>
    <n v="2023"/>
    <s v="Wednesday"/>
    <s v="May"/>
    <d v="2023-05-03T00:00:00"/>
    <s v="CUST357"/>
    <x v="1"/>
    <x v="0"/>
    <n v="40"/>
    <x v="2"/>
    <n v="3"/>
    <n v="25"/>
    <n v="75"/>
    <n v="1.125"/>
    <n v="1.5"/>
  </r>
  <r>
    <n v="358"/>
    <n v="16"/>
    <n v="5"/>
    <n v="2023"/>
    <s v="Tuesday"/>
    <s v="May"/>
    <d v="2023-05-16T00:00:00"/>
    <s v="CUST358"/>
    <x v="1"/>
    <x v="0"/>
    <n v="32"/>
    <x v="0"/>
    <n v="1"/>
    <n v="300"/>
    <n v="300"/>
    <n v="4.5"/>
    <n v="6"/>
  </r>
  <r>
    <n v="359"/>
    <n v="22"/>
    <n v="7"/>
    <n v="2023"/>
    <s v="Saturday"/>
    <s v="Jul"/>
    <d v="2023-07-22T00:00:00"/>
    <s v="CUST359"/>
    <x v="0"/>
    <x v="0"/>
    <n v="50"/>
    <x v="1"/>
    <n v="1"/>
    <n v="50"/>
    <n v="50"/>
    <n v="0.75"/>
    <n v="1"/>
  </r>
  <r>
    <n v="360"/>
    <n v="9"/>
    <n v="3"/>
    <n v="2023"/>
    <s v="Thursday"/>
    <s v="Mar"/>
    <d v="2023-03-09T00:00:00"/>
    <s v="CUST360"/>
    <x v="0"/>
    <x v="0"/>
    <n v="42"/>
    <x v="1"/>
    <n v="4"/>
    <n v="25"/>
    <n v="100"/>
    <n v="1.5"/>
    <n v="2"/>
  </r>
  <r>
    <n v="361"/>
    <n v="10"/>
    <n v="12"/>
    <n v="2023"/>
    <s v="Sunday"/>
    <s v="Dec"/>
    <d v="2023-12-10T00:00:00"/>
    <s v="CUST361"/>
    <x v="1"/>
    <x v="0"/>
    <n v="34"/>
    <x v="2"/>
    <n v="4"/>
    <n v="300"/>
    <n v="1200"/>
    <n v="18"/>
    <n v="24"/>
  </r>
  <r>
    <n v="362"/>
    <n v="27"/>
    <n v="11"/>
    <n v="2023"/>
    <s v="Monday"/>
    <s v="Nov"/>
    <d v="2023-11-27T00:00:00"/>
    <s v="CUST362"/>
    <x v="0"/>
    <x v="0"/>
    <n v="50"/>
    <x v="1"/>
    <n v="1"/>
    <n v="25"/>
    <n v="25"/>
    <n v="0.375"/>
    <n v="0.5"/>
  </r>
  <r>
    <n v="363"/>
    <n v="3"/>
    <n v="6"/>
    <n v="2023"/>
    <s v="Saturday"/>
    <s v="Jun"/>
    <d v="2023-06-03T00:00:00"/>
    <s v="CUST363"/>
    <x v="0"/>
    <x v="2"/>
    <n v="64"/>
    <x v="0"/>
    <n v="1"/>
    <n v="25"/>
    <n v="25"/>
    <n v="0.375"/>
    <n v="0.5"/>
  </r>
  <r>
    <n v="364"/>
    <n v="23"/>
    <n v="8"/>
    <n v="2023"/>
    <s v="Wednesday"/>
    <s v="Aug"/>
    <d v="2023-08-23T00:00:00"/>
    <s v="CUST364"/>
    <x v="1"/>
    <x v="1"/>
    <n v="19"/>
    <x v="0"/>
    <n v="1"/>
    <n v="500"/>
    <n v="500"/>
    <n v="7.5"/>
    <n v="10"/>
  </r>
  <r>
    <n v="365"/>
    <n v="11"/>
    <n v="6"/>
    <n v="2023"/>
    <s v="Sunday"/>
    <s v="Jun"/>
    <d v="2023-06-11T00:00:00"/>
    <s v="CUST365"/>
    <x v="0"/>
    <x v="0"/>
    <n v="31"/>
    <x v="1"/>
    <n v="1"/>
    <n v="300"/>
    <n v="300"/>
    <n v="4.5"/>
    <n v="6"/>
  </r>
  <r>
    <n v="366"/>
    <n v="7"/>
    <n v="2"/>
    <n v="2023"/>
    <s v="Tuesday"/>
    <s v="Feb"/>
    <d v="2023-02-07T00:00:00"/>
    <s v="CUST366"/>
    <x v="0"/>
    <x v="2"/>
    <n v="57"/>
    <x v="1"/>
    <n v="2"/>
    <n v="50"/>
    <n v="100"/>
    <n v="1.5"/>
    <n v="2"/>
  </r>
  <r>
    <n v="367"/>
    <n v="5"/>
    <n v="1"/>
    <n v="2023"/>
    <s v="Thursday"/>
    <s v="Jan"/>
    <d v="2023-01-05T00:00:00"/>
    <s v="CUST367"/>
    <x v="1"/>
    <x v="2"/>
    <n v="57"/>
    <x v="2"/>
    <n v="1"/>
    <n v="50"/>
    <n v="50"/>
    <n v="0.75"/>
    <n v="1"/>
  </r>
  <r>
    <n v="368"/>
    <n v="23"/>
    <n v="8"/>
    <n v="2023"/>
    <s v="Wednesday"/>
    <s v="Aug"/>
    <d v="2023-08-23T00:00:00"/>
    <s v="CUST368"/>
    <x v="1"/>
    <x v="2"/>
    <n v="56"/>
    <x v="1"/>
    <n v="4"/>
    <n v="300"/>
    <n v="1200"/>
    <n v="18"/>
    <n v="24"/>
  </r>
  <r>
    <n v="369"/>
    <n v="15"/>
    <n v="11"/>
    <n v="2023"/>
    <s v="Wednesday"/>
    <s v="Nov"/>
    <d v="2023-11-15T00:00:00"/>
    <s v="CUST369"/>
    <x v="0"/>
    <x v="1"/>
    <n v="23"/>
    <x v="2"/>
    <n v="3"/>
    <n v="500"/>
    <n v="1500"/>
    <n v="22.5"/>
    <n v="30"/>
  </r>
  <r>
    <n v="370"/>
    <n v="16"/>
    <n v="10"/>
    <n v="2023"/>
    <s v="Monday"/>
    <s v="Oct"/>
    <d v="2023-10-16T00:00:00"/>
    <s v="CUST370"/>
    <x v="0"/>
    <x v="1"/>
    <n v="23"/>
    <x v="2"/>
    <n v="2"/>
    <n v="30"/>
    <n v="60"/>
    <n v="0.89999999999999991"/>
    <n v="1.2"/>
  </r>
  <r>
    <n v="371"/>
    <n v="21"/>
    <n v="2"/>
    <n v="2023"/>
    <s v="Tuesday"/>
    <s v="Feb"/>
    <d v="2023-02-21T00:00:00"/>
    <s v="CUST371"/>
    <x v="1"/>
    <x v="1"/>
    <n v="20"/>
    <x v="0"/>
    <n v="1"/>
    <n v="25"/>
    <n v="25"/>
    <n v="0.375"/>
    <n v="0.5"/>
  </r>
  <r>
    <n v="372"/>
    <n v="7"/>
    <n v="2"/>
    <n v="2023"/>
    <s v="Tuesday"/>
    <s v="Feb"/>
    <d v="2023-02-07T00:00:00"/>
    <s v="CUST372"/>
    <x v="1"/>
    <x v="1"/>
    <n v="24"/>
    <x v="0"/>
    <n v="3"/>
    <n v="500"/>
    <n v="1500"/>
    <n v="22.5"/>
    <n v="30"/>
  </r>
  <r>
    <n v="373"/>
    <n v="3"/>
    <n v="10"/>
    <n v="2023"/>
    <s v="Tuesday"/>
    <s v="Oct"/>
    <d v="2023-10-03T00:00:00"/>
    <s v="CUST373"/>
    <x v="1"/>
    <x v="1"/>
    <n v="25"/>
    <x v="0"/>
    <n v="2"/>
    <n v="300"/>
    <n v="600"/>
    <n v="9"/>
    <n v="12"/>
  </r>
  <r>
    <n v="374"/>
    <n v="20"/>
    <n v="4"/>
    <n v="2023"/>
    <s v="Thursday"/>
    <s v="Apr"/>
    <d v="2023-04-20T00:00:00"/>
    <s v="CUST374"/>
    <x v="1"/>
    <x v="2"/>
    <n v="59"/>
    <x v="0"/>
    <n v="3"/>
    <n v="25"/>
    <n v="75"/>
    <n v="1.125"/>
    <n v="1.5"/>
  </r>
  <r>
    <n v="375"/>
    <n v="17"/>
    <n v="9"/>
    <n v="2023"/>
    <s v="Sunday"/>
    <s v="Sep"/>
    <d v="2023-09-17T00:00:00"/>
    <s v="CUST375"/>
    <x v="0"/>
    <x v="0"/>
    <n v="32"/>
    <x v="1"/>
    <n v="1"/>
    <n v="50"/>
    <n v="50"/>
    <n v="0.75"/>
    <n v="1"/>
  </r>
  <r>
    <n v="376"/>
    <n v="16"/>
    <n v="5"/>
    <n v="2023"/>
    <s v="Tuesday"/>
    <s v="May"/>
    <d v="2023-05-16T00:00:00"/>
    <s v="CUST376"/>
    <x v="1"/>
    <x v="2"/>
    <n v="64"/>
    <x v="0"/>
    <n v="1"/>
    <n v="30"/>
    <n v="30"/>
    <n v="0.44999999999999996"/>
    <n v="0.6"/>
  </r>
  <r>
    <n v="377"/>
    <n v="9"/>
    <n v="3"/>
    <n v="2023"/>
    <s v="Thursday"/>
    <s v="Mar"/>
    <d v="2023-03-09T00:00:00"/>
    <s v="CUST377"/>
    <x v="1"/>
    <x v="0"/>
    <n v="46"/>
    <x v="1"/>
    <n v="4"/>
    <n v="50"/>
    <n v="200"/>
    <n v="3"/>
    <n v="4"/>
  </r>
  <r>
    <n v="378"/>
    <n v="28"/>
    <n v="6"/>
    <n v="2023"/>
    <s v="Wednesday"/>
    <s v="Jun"/>
    <d v="2023-06-28T00:00:00"/>
    <s v="CUST378"/>
    <x v="0"/>
    <x v="0"/>
    <n v="50"/>
    <x v="0"/>
    <n v="1"/>
    <n v="300"/>
    <n v="300"/>
    <n v="4.5"/>
    <n v="6"/>
  </r>
  <r>
    <n v="379"/>
    <n v="5"/>
    <n v="2"/>
    <n v="2023"/>
    <s v="Sunday"/>
    <s v="Feb"/>
    <d v="2023-02-05T00:00:00"/>
    <s v="CUST379"/>
    <x v="1"/>
    <x v="0"/>
    <n v="47"/>
    <x v="1"/>
    <n v="1"/>
    <n v="25"/>
    <n v="25"/>
    <n v="0.375"/>
    <n v="0.5"/>
  </r>
  <r>
    <n v="380"/>
    <n v="6"/>
    <n v="5"/>
    <n v="2023"/>
    <s v="Saturday"/>
    <s v="May"/>
    <d v="2023-05-06T00:00:00"/>
    <s v="CUST380"/>
    <x v="0"/>
    <x v="2"/>
    <n v="56"/>
    <x v="2"/>
    <n v="2"/>
    <n v="300"/>
    <n v="600"/>
    <n v="9"/>
    <n v="12"/>
  </r>
  <r>
    <n v="381"/>
    <n v="9"/>
    <n v="7"/>
    <n v="2023"/>
    <s v="Sunday"/>
    <s v="Jul"/>
    <d v="2023-07-09T00:00:00"/>
    <s v="CUST381"/>
    <x v="1"/>
    <x v="0"/>
    <n v="44"/>
    <x v="1"/>
    <n v="4"/>
    <n v="25"/>
    <n v="100"/>
    <n v="1.5"/>
    <n v="2"/>
  </r>
  <r>
    <n v="382"/>
    <n v="26"/>
    <n v="5"/>
    <n v="2023"/>
    <s v="Friday"/>
    <s v="May"/>
    <d v="2023-05-26T00:00:00"/>
    <s v="CUST382"/>
    <x v="1"/>
    <x v="2"/>
    <n v="53"/>
    <x v="1"/>
    <n v="2"/>
    <n v="500"/>
    <n v="1000"/>
    <n v="15"/>
    <n v="20"/>
  </r>
  <r>
    <n v="383"/>
    <n v="22"/>
    <n v="3"/>
    <n v="2023"/>
    <s v="Wednesday"/>
    <s v="Mar"/>
    <d v="2023-03-22T00:00:00"/>
    <s v="CUST383"/>
    <x v="1"/>
    <x v="0"/>
    <n v="46"/>
    <x v="0"/>
    <n v="3"/>
    <n v="30"/>
    <n v="90"/>
    <n v="1.3499999999999999"/>
    <n v="1.8"/>
  </r>
  <r>
    <n v="384"/>
    <n v="13"/>
    <n v="8"/>
    <n v="2023"/>
    <s v="Sunday"/>
    <s v="Aug"/>
    <d v="2023-08-13T00:00:00"/>
    <s v="CUST384"/>
    <x v="0"/>
    <x v="2"/>
    <n v="55"/>
    <x v="1"/>
    <n v="1"/>
    <n v="500"/>
    <n v="500"/>
    <n v="7.5"/>
    <n v="10"/>
  </r>
  <r>
    <n v="385"/>
    <n v="6"/>
    <n v="10"/>
    <n v="2023"/>
    <s v="Friday"/>
    <s v="Oct"/>
    <d v="2023-10-06T00:00:00"/>
    <s v="CUST385"/>
    <x v="0"/>
    <x v="0"/>
    <n v="50"/>
    <x v="2"/>
    <n v="3"/>
    <n v="500"/>
    <n v="1500"/>
    <n v="22.5"/>
    <n v="30"/>
  </r>
  <r>
    <n v="386"/>
    <n v="27"/>
    <n v="12"/>
    <n v="2023"/>
    <s v="Wednesday"/>
    <s v="Dec"/>
    <d v="2023-12-27T00:00:00"/>
    <s v="CUST386"/>
    <x v="1"/>
    <x v="2"/>
    <n v="54"/>
    <x v="2"/>
    <n v="2"/>
    <n v="300"/>
    <n v="600"/>
    <n v="9"/>
    <n v="12"/>
  </r>
  <r>
    <n v="387"/>
    <n v="4"/>
    <n v="6"/>
    <n v="2023"/>
    <s v="Sunday"/>
    <s v="Jun"/>
    <d v="2023-06-04T00:00:00"/>
    <s v="CUST387"/>
    <x v="0"/>
    <x v="0"/>
    <n v="44"/>
    <x v="0"/>
    <n v="1"/>
    <n v="30"/>
    <n v="30"/>
    <n v="0.44999999999999996"/>
    <n v="0.6"/>
  </r>
  <r>
    <n v="388"/>
    <n v="10"/>
    <n v="11"/>
    <n v="2023"/>
    <s v="Friday"/>
    <s v="Nov"/>
    <d v="2023-11-10T00:00:00"/>
    <s v="CUST388"/>
    <x v="0"/>
    <x v="0"/>
    <n v="50"/>
    <x v="2"/>
    <n v="1"/>
    <n v="25"/>
    <n v="25"/>
    <n v="0.375"/>
    <n v="0.5"/>
  </r>
  <r>
    <n v="389"/>
    <n v="1"/>
    <n v="12"/>
    <n v="2023"/>
    <s v="Friday"/>
    <s v="Dec"/>
    <d v="2023-12-01T00:00:00"/>
    <s v="CUST389"/>
    <x v="0"/>
    <x v="1"/>
    <n v="21"/>
    <x v="1"/>
    <n v="2"/>
    <n v="25"/>
    <n v="50"/>
    <n v="0.75"/>
    <n v="1"/>
  </r>
  <r>
    <n v="390"/>
    <n v="28"/>
    <n v="9"/>
    <n v="2023"/>
    <s v="Thursday"/>
    <s v="Sep"/>
    <d v="2023-09-28T00:00:00"/>
    <s v="CUST390"/>
    <x v="0"/>
    <x v="0"/>
    <n v="39"/>
    <x v="2"/>
    <n v="2"/>
    <n v="50"/>
    <n v="100"/>
    <n v="1.5"/>
    <n v="2"/>
  </r>
  <r>
    <n v="391"/>
    <n v="5"/>
    <n v="1"/>
    <n v="2023"/>
    <s v="Thursday"/>
    <s v="Jan"/>
    <d v="2023-01-05T00:00:00"/>
    <s v="CUST391"/>
    <x v="0"/>
    <x v="1"/>
    <n v="19"/>
    <x v="0"/>
    <n v="2"/>
    <n v="25"/>
    <n v="50"/>
    <n v="0.75"/>
    <n v="1"/>
  </r>
  <r>
    <n v="392"/>
    <n v="8"/>
    <n v="12"/>
    <n v="2023"/>
    <s v="Friday"/>
    <s v="Dec"/>
    <d v="2023-12-08T00:00:00"/>
    <s v="CUST392"/>
    <x v="0"/>
    <x v="1"/>
    <n v="27"/>
    <x v="1"/>
    <n v="2"/>
    <n v="300"/>
    <n v="600"/>
    <n v="9"/>
    <n v="12"/>
  </r>
  <r>
    <n v="393"/>
    <n v="11"/>
    <n v="10"/>
    <n v="2023"/>
    <s v="Wednesday"/>
    <s v="Oct"/>
    <d v="2023-10-11T00:00:00"/>
    <s v="CUST393"/>
    <x v="1"/>
    <x v="1"/>
    <n v="22"/>
    <x v="0"/>
    <n v="2"/>
    <n v="500"/>
    <n v="1000"/>
    <n v="15"/>
    <n v="20"/>
  </r>
  <r>
    <n v="394"/>
    <n v="3"/>
    <n v="6"/>
    <n v="2023"/>
    <s v="Saturday"/>
    <s v="Jun"/>
    <d v="2023-06-03T00:00:00"/>
    <s v="CUST394"/>
    <x v="1"/>
    <x v="1"/>
    <n v="27"/>
    <x v="1"/>
    <n v="1"/>
    <n v="500"/>
    <n v="500"/>
    <n v="7.5"/>
    <n v="10"/>
  </r>
  <r>
    <n v="395"/>
    <n v="6"/>
    <n v="12"/>
    <n v="2023"/>
    <s v="Wednesday"/>
    <s v="Dec"/>
    <d v="2023-12-06T00:00:00"/>
    <s v="CUST395"/>
    <x v="0"/>
    <x v="0"/>
    <n v="50"/>
    <x v="2"/>
    <n v="2"/>
    <n v="500"/>
    <n v="1000"/>
    <n v="15"/>
    <n v="20"/>
  </r>
  <r>
    <n v="396"/>
    <n v="23"/>
    <n v="2"/>
    <n v="2023"/>
    <s v="Thursday"/>
    <s v="Feb"/>
    <d v="2023-02-23T00:00:00"/>
    <s v="CUST396"/>
    <x v="1"/>
    <x v="2"/>
    <n v="55"/>
    <x v="0"/>
    <n v="1"/>
    <n v="30"/>
    <n v="30"/>
    <n v="0.44999999999999996"/>
    <n v="0.6"/>
  </r>
  <r>
    <n v="397"/>
    <n v="10"/>
    <n v="3"/>
    <n v="2023"/>
    <s v="Friday"/>
    <s v="Mar"/>
    <d v="2023-03-10T00:00:00"/>
    <s v="CUST397"/>
    <x v="1"/>
    <x v="0"/>
    <n v="30"/>
    <x v="0"/>
    <n v="1"/>
    <n v="25"/>
    <n v="25"/>
    <n v="0.375"/>
    <n v="0.5"/>
  </r>
  <r>
    <n v="398"/>
    <n v="16"/>
    <n v="5"/>
    <n v="2023"/>
    <s v="Tuesday"/>
    <s v="May"/>
    <d v="2023-05-16T00:00:00"/>
    <s v="CUST398"/>
    <x v="1"/>
    <x v="0"/>
    <n v="48"/>
    <x v="1"/>
    <n v="2"/>
    <n v="300"/>
    <n v="600"/>
    <n v="9"/>
    <n v="12"/>
  </r>
  <r>
    <n v="399"/>
    <n v="1"/>
    <n v="3"/>
    <n v="2023"/>
    <s v="Wednesday"/>
    <s v="Mar"/>
    <d v="2023-03-01T00:00:00"/>
    <s v="CUST399"/>
    <x v="1"/>
    <x v="2"/>
    <n v="64"/>
    <x v="0"/>
    <n v="2"/>
    <n v="30"/>
    <n v="60"/>
    <n v="0.89999999999999991"/>
    <n v="1.2"/>
  </r>
  <r>
    <n v="400"/>
    <n v="24"/>
    <n v="2"/>
    <n v="2023"/>
    <s v="Friday"/>
    <s v="Feb"/>
    <d v="2023-02-24T00:00:00"/>
    <s v="CUST400"/>
    <x v="0"/>
    <x v="2"/>
    <n v="53"/>
    <x v="1"/>
    <n v="4"/>
    <n v="50"/>
    <n v="200"/>
    <n v="3"/>
    <n v="4"/>
  </r>
  <r>
    <n v="401"/>
    <n v="11"/>
    <n v="10"/>
    <n v="2023"/>
    <s v="Wednesday"/>
    <s v="Oct"/>
    <d v="2023-10-11T00:00:00"/>
    <s v="CUST401"/>
    <x v="1"/>
    <x v="2"/>
    <n v="62"/>
    <x v="1"/>
    <n v="1"/>
    <n v="300"/>
    <n v="300"/>
    <n v="4.5"/>
    <n v="6"/>
  </r>
  <r>
    <n v="402"/>
    <n v="21"/>
    <n v="3"/>
    <n v="2023"/>
    <s v="Tuesday"/>
    <s v="Mar"/>
    <d v="2023-03-21T00:00:00"/>
    <s v="CUST402"/>
    <x v="1"/>
    <x v="0"/>
    <n v="41"/>
    <x v="1"/>
    <n v="2"/>
    <n v="300"/>
    <n v="600"/>
    <n v="9"/>
    <n v="12"/>
  </r>
  <r>
    <n v="403"/>
    <n v="20"/>
    <n v="5"/>
    <n v="2023"/>
    <s v="Saturday"/>
    <s v="May"/>
    <d v="2023-05-20T00:00:00"/>
    <s v="CUST403"/>
    <x v="0"/>
    <x v="0"/>
    <n v="32"/>
    <x v="1"/>
    <n v="2"/>
    <n v="300"/>
    <n v="600"/>
    <n v="9"/>
    <n v="12"/>
  </r>
  <r>
    <n v="404"/>
    <n v="25"/>
    <n v="5"/>
    <n v="2023"/>
    <s v="Thursday"/>
    <s v="May"/>
    <d v="2023-05-25T00:00:00"/>
    <s v="CUST404"/>
    <x v="0"/>
    <x v="0"/>
    <n v="46"/>
    <x v="2"/>
    <n v="2"/>
    <n v="500"/>
    <n v="1000"/>
    <n v="15"/>
    <n v="20"/>
  </r>
  <r>
    <n v="405"/>
    <n v="6"/>
    <n v="11"/>
    <n v="2023"/>
    <s v="Monday"/>
    <s v="Nov"/>
    <d v="2023-11-06T00:00:00"/>
    <s v="CUST405"/>
    <x v="1"/>
    <x v="1"/>
    <n v="25"/>
    <x v="1"/>
    <n v="4"/>
    <n v="300"/>
    <n v="1200"/>
    <n v="18"/>
    <n v="24"/>
  </r>
  <r>
    <n v="406"/>
    <n v="18"/>
    <n v="4"/>
    <n v="2023"/>
    <s v="Tuesday"/>
    <s v="Apr"/>
    <d v="2023-04-18T00:00:00"/>
    <s v="CUST406"/>
    <x v="1"/>
    <x v="1"/>
    <n v="22"/>
    <x v="0"/>
    <n v="4"/>
    <n v="25"/>
    <n v="100"/>
    <n v="1.5"/>
    <n v="2"/>
  </r>
  <r>
    <n v="407"/>
    <n v="25"/>
    <n v="6"/>
    <n v="2023"/>
    <s v="Sunday"/>
    <s v="Jun"/>
    <d v="2023-06-25T00:00:00"/>
    <s v="CUST407"/>
    <x v="1"/>
    <x v="0"/>
    <n v="46"/>
    <x v="2"/>
    <n v="3"/>
    <n v="300"/>
    <n v="900"/>
    <n v="13.5"/>
    <n v="18"/>
  </r>
  <r>
    <n v="408"/>
    <n v="15"/>
    <n v="4"/>
    <n v="2023"/>
    <s v="Saturday"/>
    <s v="Apr"/>
    <d v="2023-04-15T00:00:00"/>
    <s v="CUST408"/>
    <x v="1"/>
    <x v="2"/>
    <n v="64"/>
    <x v="0"/>
    <n v="1"/>
    <n v="500"/>
    <n v="500"/>
    <n v="7.5"/>
    <n v="10"/>
  </r>
  <r>
    <n v="409"/>
    <n v="18"/>
    <n v="12"/>
    <n v="2023"/>
    <s v="Monday"/>
    <s v="Dec"/>
    <d v="2023-12-18T00:00:00"/>
    <s v="CUST409"/>
    <x v="1"/>
    <x v="1"/>
    <n v="21"/>
    <x v="2"/>
    <n v="3"/>
    <n v="300"/>
    <n v="900"/>
    <n v="13.5"/>
    <n v="18"/>
  </r>
  <r>
    <n v="410"/>
    <n v="21"/>
    <n v="11"/>
    <n v="2023"/>
    <s v="Tuesday"/>
    <s v="Nov"/>
    <d v="2023-11-21T00:00:00"/>
    <s v="CUST410"/>
    <x v="1"/>
    <x v="1"/>
    <n v="29"/>
    <x v="1"/>
    <n v="2"/>
    <n v="50"/>
    <n v="100"/>
    <n v="1.5"/>
    <n v="2"/>
  </r>
  <r>
    <n v="411"/>
    <n v="16"/>
    <n v="5"/>
    <n v="2023"/>
    <s v="Tuesday"/>
    <s v="May"/>
    <d v="2023-05-16T00:00:00"/>
    <s v="CUST411"/>
    <x v="0"/>
    <x v="2"/>
    <n v="62"/>
    <x v="2"/>
    <n v="4"/>
    <n v="50"/>
    <n v="200"/>
    <n v="3"/>
    <n v="4"/>
  </r>
  <r>
    <n v="412"/>
    <n v="16"/>
    <n v="9"/>
    <n v="2023"/>
    <s v="Saturday"/>
    <s v="Sep"/>
    <d v="2023-09-16T00:00:00"/>
    <s v="CUST412"/>
    <x v="1"/>
    <x v="1"/>
    <n v="19"/>
    <x v="2"/>
    <n v="4"/>
    <n v="500"/>
    <n v="2000"/>
    <n v="30"/>
    <n v="40"/>
  </r>
  <r>
    <n v="413"/>
    <n v="8"/>
    <n v="9"/>
    <n v="2023"/>
    <s v="Friday"/>
    <s v="Sep"/>
    <d v="2023-09-08T00:00:00"/>
    <s v="CUST413"/>
    <x v="1"/>
    <x v="0"/>
    <n v="44"/>
    <x v="0"/>
    <n v="3"/>
    <n v="25"/>
    <n v="75"/>
    <n v="1.125"/>
    <n v="1.5"/>
  </r>
  <r>
    <n v="414"/>
    <n v="9"/>
    <n v="5"/>
    <n v="2023"/>
    <s v="Tuesday"/>
    <s v="May"/>
    <d v="2023-05-09T00:00:00"/>
    <s v="CUST414"/>
    <x v="0"/>
    <x v="0"/>
    <n v="48"/>
    <x v="0"/>
    <n v="4"/>
    <n v="25"/>
    <n v="100"/>
    <n v="1.5"/>
    <n v="2"/>
  </r>
  <r>
    <n v="415"/>
    <n v="27"/>
    <n v="1"/>
    <n v="2023"/>
    <s v="Friday"/>
    <s v="Jan"/>
    <d v="2023-01-27T00:00:00"/>
    <s v="CUST415"/>
    <x v="0"/>
    <x v="2"/>
    <n v="53"/>
    <x v="1"/>
    <n v="2"/>
    <n v="30"/>
    <n v="60"/>
    <n v="0.89999999999999991"/>
    <n v="1.2"/>
  </r>
  <r>
    <n v="416"/>
    <n v="17"/>
    <n v="2"/>
    <n v="2023"/>
    <s v="Friday"/>
    <s v="Feb"/>
    <d v="2023-02-17T00:00:00"/>
    <s v="CUST416"/>
    <x v="0"/>
    <x v="2"/>
    <n v="53"/>
    <x v="2"/>
    <n v="4"/>
    <n v="500"/>
    <n v="2000"/>
    <n v="30"/>
    <n v="40"/>
  </r>
  <r>
    <n v="417"/>
    <n v="21"/>
    <n v="11"/>
    <n v="2023"/>
    <s v="Tuesday"/>
    <s v="Nov"/>
    <d v="2023-11-21T00:00:00"/>
    <s v="CUST417"/>
    <x v="0"/>
    <x v="0"/>
    <n v="43"/>
    <x v="2"/>
    <n v="3"/>
    <n v="300"/>
    <n v="900"/>
    <n v="13.5"/>
    <n v="18"/>
  </r>
  <r>
    <n v="418"/>
    <n v="5"/>
    <n v="8"/>
    <n v="2023"/>
    <s v="Saturday"/>
    <s v="Aug"/>
    <d v="2023-08-05T00:00:00"/>
    <s v="CUST418"/>
    <x v="1"/>
    <x v="2"/>
    <n v="60"/>
    <x v="2"/>
    <n v="2"/>
    <n v="500"/>
    <n v="1000"/>
    <n v="15"/>
    <n v="20"/>
  </r>
  <r>
    <n v="419"/>
    <n v="22"/>
    <n v="5"/>
    <n v="2023"/>
    <s v="Monday"/>
    <s v="May"/>
    <d v="2023-05-22T00:00:00"/>
    <s v="CUST419"/>
    <x v="1"/>
    <x v="0"/>
    <n v="44"/>
    <x v="1"/>
    <n v="3"/>
    <n v="30"/>
    <n v="90"/>
    <n v="1.3499999999999999"/>
    <n v="1.8"/>
  </r>
  <r>
    <n v="420"/>
    <n v="23"/>
    <n v="1"/>
    <n v="2023"/>
    <s v="Monday"/>
    <s v="Jan"/>
    <d v="2023-01-23T00:00:00"/>
    <s v="CUST420"/>
    <x v="1"/>
    <x v="1"/>
    <n v="22"/>
    <x v="1"/>
    <n v="4"/>
    <n v="500"/>
    <n v="2000"/>
    <n v="30"/>
    <n v="40"/>
  </r>
  <r>
    <n v="421"/>
    <n v="2"/>
    <n v="1"/>
    <n v="2023"/>
    <s v="Monday"/>
    <s v="Jan"/>
    <d v="2023-01-02T00:00:00"/>
    <s v="CUST421"/>
    <x v="1"/>
    <x v="0"/>
    <n v="37"/>
    <x v="1"/>
    <n v="3"/>
    <n v="500"/>
    <n v="1500"/>
    <n v="22.5"/>
    <n v="30"/>
  </r>
  <r>
    <n v="422"/>
    <n v="20"/>
    <n v="6"/>
    <n v="2023"/>
    <s v="Tuesday"/>
    <s v="Jun"/>
    <d v="2023-06-20T00:00:00"/>
    <s v="CUST422"/>
    <x v="1"/>
    <x v="1"/>
    <n v="28"/>
    <x v="1"/>
    <n v="3"/>
    <n v="30"/>
    <n v="90"/>
    <n v="1.3499999999999999"/>
    <n v="1.8"/>
  </r>
  <r>
    <n v="423"/>
    <n v="8"/>
    <n v="3"/>
    <n v="2023"/>
    <s v="Wednesday"/>
    <s v="Mar"/>
    <d v="2023-03-08T00:00:00"/>
    <s v="CUST423"/>
    <x v="1"/>
    <x v="1"/>
    <n v="27"/>
    <x v="1"/>
    <n v="1"/>
    <n v="25"/>
    <n v="25"/>
    <n v="0.375"/>
    <n v="0.5"/>
  </r>
  <r>
    <n v="424"/>
    <n v="23"/>
    <n v="11"/>
    <n v="2023"/>
    <s v="Thursday"/>
    <s v="Nov"/>
    <d v="2023-11-23T00:00:00"/>
    <s v="CUST424"/>
    <x v="0"/>
    <x v="2"/>
    <n v="57"/>
    <x v="0"/>
    <n v="4"/>
    <n v="300"/>
    <n v="1200"/>
    <n v="18"/>
    <n v="24"/>
  </r>
  <r>
    <n v="425"/>
    <n v="15"/>
    <n v="5"/>
    <n v="2023"/>
    <s v="Monday"/>
    <s v="May"/>
    <d v="2023-05-15T00:00:00"/>
    <s v="CUST425"/>
    <x v="1"/>
    <x v="2"/>
    <n v="55"/>
    <x v="2"/>
    <n v="4"/>
    <n v="30"/>
    <n v="120"/>
    <n v="1.7999999999999998"/>
    <n v="2.4"/>
  </r>
  <r>
    <n v="426"/>
    <n v="24"/>
    <n v="3"/>
    <n v="2023"/>
    <s v="Friday"/>
    <s v="Mar"/>
    <d v="2023-03-24T00:00:00"/>
    <s v="CUST426"/>
    <x v="0"/>
    <x v="1"/>
    <n v="23"/>
    <x v="2"/>
    <n v="3"/>
    <n v="50"/>
    <n v="150"/>
    <n v="2.25"/>
    <n v="3"/>
  </r>
  <r>
    <n v="427"/>
    <n v="15"/>
    <n v="8"/>
    <n v="2023"/>
    <s v="Tuesday"/>
    <s v="Aug"/>
    <d v="2023-08-15T00:00:00"/>
    <s v="CUST427"/>
    <x v="0"/>
    <x v="1"/>
    <n v="25"/>
    <x v="2"/>
    <n v="1"/>
    <n v="25"/>
    <n v="25"/>
    <n v="0.375"/>
    <n v="0.5"/>
  </r>
  <r>
    <n v="428"/>
    <n v="10"/>
    <n v="10"/>
    <n v="2023"/>
    <s v="Tuesday"/>
    <s v="Oct"/>
    <d v="2023-10-10T00:00:00"/>
    <s v="CUST428"/>
    <x v="1"/>
    <x v="0"/>
    <n v="40"/>
    <x v="2"/>
    <n v="4"/>
    <n v="50"/>
    <n v="200"/>
    <n v="3"/>
    <n v="4"/>
  </r>
  <r>
    <n v="429"/>
    <n v="28"/>
    <n v="12"/>
    <n v="2023"/>
    <s v="Thursday"/>
    <s v="Dec"/>
    <d v="2023-12-28T00:00:00"/>
    <s v="CUST429"/>
    <x v="0"/>
    <x v="2"/>
    <n v="64"/>
    <x v="2"/>
    <n v="2"/>
    <n v="25"/>
    <n v="50"/>
    <n v="0.75"/>
    <n v="1"/>
  </r>
  <r>
    <n v="430"/>
    <n v="7"/>
    <n v="8"/>
    <n v="2023"/>
    <s v="Monday"/>
    <s v="Aug"/>
    <d v="2023-08-07T00:00:00"/>
    <s v="CUST430"/>
    <x v="1"/>
    <x v="0"/>
    <n v="43"/>
    <x v="2"/>
    <n v="3"/>
    <n v="300"/>
    <n v="900"/>
    <n v="13.5"/>
    <n v="18"/>
  </r>
  <r>
    <n v="431"/>
    <n v="15"/>
    <n v="10"/>
    <n v="2023"/>
    <s v="Sunday"/>
    <s v="Oct"/>
    <d v="2023-10-15T00:00:00"/>
    <s v="CUST431"/>
    <x v="0"/>
    <x v="2"/>
    <n v="63"/>
    <x v="2"/>
    <n v="4"/>
    <n v="300"/>
    <n v="1200"/>
    <n v="18"/>
    <n v="24"/>
  </r>
  <r>
    <n v="432"/>
    <n v="5"/>
    <n v="1"/>
    <n v="2023"/>
    <s v="Thursday"/>
    <s v="Jan"/>
    <d v="2023-01-05T00:00:00"/>
    <s v="CUST432"/>
    <x v="1"/>
    <x v="2"/>
    <n v="60"/>
    <x v="2"/>
    <n v="2"/>
    <n v="500"/>
    <n v="1000"/>
    <n v="15"/>
    <n v="20"/>
  </r>
  <r>
    <n v="433"/>
    <n v="27"/>
    <n v="2"/>
    <n v="2023"/>
    <s v="Monday"/>
    <s v="Feb"/>
    <d v="2023-02-27T00:00:00"/>
    <s v="CUST433"/>
    <x v="0"/>
    <x v="1"/>
    <n v="29"/>
    <x v="0"/>
    <n v="4"/>
    <n v="50"/>
    <n v="200"/>
    <n v="3"/>
    <n v="4"/>
  </r>
  <r>
    <n v="434"/>
    <n v="8"/>
    <n v="2"/>
    <n v="2023"/>
    <s v="Wednesday"/>
    <s v="Feb"/>
    <d v="2023-02-08T00:00:00"/>
    <s v="CUST434"/>
    <x v="1"/>
    <x v="0"/>
    <n v="43"/>
    <x v="2"/>
    <n v="2"/>
    <n v="25"/>
    <n v="50"/>
    <n v="0.75"/>
    <n v="1"/>
  </r>
  <r>
    <n v="435"/>
    <n v="20"/>
    <n v="12"/>
    <n v="2023"/>
    <s v="Wednesday"/>
    <s v="Dec"/>
    <d v="2023-12-20T00:00:00"/>
    <s v="CUST435"/>
    <x v="1"/>
    <x v="0"/>
    <n v="30"/>
    <x v="0"/>
    <n v="3"/>
    <n v="300"/>
    <n v="900"/>
    <n v="13.5"/>
    <n v="18"/>
  </r>
  <r>
    <n v="436"/>
    <n v="18"/>
    <n v="3"/>
    <n v="2023"/>
    <s v="Saturday"/>
    <s v="Mar"/>
    <d v="2023-03-18T00:00:00"/>
    <s v="CUST436"/>
    <x v="1"/>
    <x v="2"/>
    <n v="57"/>
    <x v="1"/>
    <n v="4"/>
    <n v="30"/>
    <n v="120"/>
    <n v="1.7999999999999998"/>
    <n v="2.4"/>
  </r>
  <r>
    <n v="437"/>
    <n v="7"/>
    <n v="10"/>
    <n v="2023"/>
    <s v="Saturday"/>
    <s v="Oct"/>
    <d v="2023-10-07T00:00:00"/>
    <s v="CUST437"/>
    <x v="1"/>
    <x v="0"/>
    <n v="35"/>
    <x v="2"/>
    <n v="4"/>
    <n v="300"/>
    <n v="1200"/>
    <n v="18"/>
    <n v="24"/>
  </r>
  <r>
    <n v="438"/>
    <n v="19"/>
    <n v="1"/>
    <n v="2023"/>
    <s v="Thursday"/>
    <s v="Jan"/>
    <d v="2023-01-19T00:00:00"/>
    <s v="CUST438"/>
    <x v="1"/>
    <x v="0"/>
    <n v="42"/>
    <x v="1"/>
    <n v="1"/>
    <n v="30"/>
    <n v="30"/>
    <n v="0.44999999999999996"/>
    <n v="0.6"/>
  </r>
  <r>
    <n v="439"/>
    <n v="9"/>
    <n v="7"/>
    <n v="2023"/>
    <s v="Sunday"/>
    <s v="Jul"/>
    <d v="2023-07-09T00:00:00"/>
    <s v="CUST439"/>
    <x v="0"/>
    <x v="0"/>
    <n v="50"/>
    <x v="1"/>
    <n v="3"/>
    <n v="25"/>
    <n v="75"/>
    <n v="1.125"/>
    <n v="1.5"/>
  </r>
  <r>
    <n v="440"/>
    <n v="26"/>
    <n v="10"/>
    <n v="2023"/>
    <s v="Thursday"/>
    <s v="Oct"/>
    <d v="2023-10-26T00:00:00"/>
    <s v="CUST440"/>
    <x v="0"/>
    <x v="2"/>
    <n v="64"/>
    <x v="1"/>
    <n v="2"/>
    <n v="300"/>
    <n v="600"/>
    <n v="9"/>
    <n v="12"/>
  </r>
  <r>
    <n v="441"/>
    <n v="10"/>
    <n v="10"/>
    <n v="2023"/>
    <s v="Tuesday"/>
    <s v="Oct"/>
    <d v="2023-10-10T00:00:00"/>
    <s v="CUST441"/>
    <x v="0"/>
    <x v="2"/>
    <n v="57"/>
    <x v="0"/>
    <n v="4"/>
    <n v="300"/>
    <n v="1200"/>
    <n v="18"/>
    <n v="24"/>
  </r>
  <r>
    <n v="442"/>
    <n v="17"/>
    <n v="3"/>
    <n v="2023"/>
    <s v="Friday"/>
    <s v="Mar"/>
    <d v="2023-03-17T00:00:00"/>
    <s v="CUST442"/>
    <x v="1"/>
    <x v="2"/>
    <n v="60"/>
    <x v="1"/>
    <n v="4"/>
    <n v="25"/>
    <n v="100"/>
    <n v="1.5"/>
    <n v="2"/>
  </r>
  <r>
    <n v="443"/>
    <n v="9"/>
    <n v="8"/>
    <n v="2023"/>
    <s v="Wednesday"/>
    <s v="Aug"/>
    <d v="2023-08-09T00:00:00"/>
    <s v="CUST443"/>
    <x v="0"/>
    <x v="1"/>
    <n v="29"/>
    <x v="1"/>
    <n v="2"/>
    <n v="300"/>
    <n v="600"/>
    <n v="9"/>
    <n v="12"/>
  </r>
  <r>
    <n v="444"/>
    <n v="7"/>
    <n v="3"/>
    <n v="2023"/>
    <s v="Tuesday"/>
    <s v="Mar"/>
    <d v="2023-03-07T00:00:00"/>
    <s v="CUST444"/>
    <x v="1"/>
    <x v="2"/>
    <n v="61"/>
    <x v="1"/>
    <n v="3"/>
    <n v="30"/>
    <n v="90"/>
    <n v="1.3499999999999999"/>
    <n v="1.8"/>
  </r>
  <r>
    <n v="445"/>
    <n v="22"/>
    <n v="1"/>
    <n v="2023"/>
    <s v="Sunday"/>
    <s v="Jan"/>
    <d v="2023-01-22T00:00:00"/>
    <s v="CUST445"/>
    <x v="1"/>
    <x v="2"/>
    <n v="53"/>
    <x v="2"/>
    <n v="1"/>
    <n v="300"/>
    <n v="300"/>
    <n v="4.5"/>
    <n v="6"/>
  </r>
  <r>
    <n v="446"/>
    <n v="7"/>
    <n v="6"/>
    <n v="2023"/>
    <s v="Wednesday"/>
    <s v="Jun"/>
    <d v="2023-06-07T00:00:00"/>
    <s v="CUST446"/>
    <x v="0"/>
    <x v="1"/>
    <n v="21"/>
    <x v="2"/>
    <n v="1"/>
    <n v="50"/>
    <n v="50"/>
    <n v="0.75"/>
    <n v="1"/>
  </r>
  <r>
    <n v="447"/>
    <n v="6"/>
    <n v="7"/>
    <n v="2023"/>
    <s v="Thursday"/>
    <s v="Jul"/>
    <d v="2023-07-06T00:00:00"/>
    <s v="CUST447"/>
    <x v="0"/>
    <x v="1"/>
    <n v="22"/>
    <x v="0"/>
    <n v="4"/>
    <n v="500"/>
    <n v="2000"/>
    <n v="30"/>
    <n v="40"/>
  </r>
  <r>
    <n v="448"/>
    <n v="21"/>
    <n v="1"/>
    <n v="2023"/>
    <s v="Saturday"/>
    <s v="Jan"/>
    <d v="2023-01-21T00:00:00"/>
    <s v="CUST448"/>
    <x v="1"/>
    <x v="2"/>
    <n v="54"/>
    <x v="0"/>
    <n v="2"/>
    <n v="30"/>
    <n v="60"/>
    <n v="0.89999999999999991"/>
    <n v="1.2"/>
  </r>
  <r>
    <n v="449"/>
    <n v="3"/>
    <n v="7"/>
    <n v="2023"/>
    <s v="Monday"/>
    <s v="Jul"/>
    <d v="2023-07-03T00:00:00"/>
    <s v="CUST449"/>
    <x v="0"/>
    <x v="1"/>
    <n v="25"/>
    <x v="2"/>
    <n v="4"/>
    <n v="50"/>
    <n v="200"/>
    <n v="3"/>
    <n v="4"/>
  </r>
  <r>
    <n v="450"/>
    <n v="18"/>
    <n v="4"/>
    <n v="2023"/>
    <s v="Tuesday"/>
    <s v="Apr"/>
    <d v="2023-04-18T00:00:00"/>
    <s v="CUST450"/>
    <x v="1"/>
    <x v="2"/>
    <n v="59"/>
    <x v="0"/>
    <n v="2"/>
    <n v="25"/>
    <n v="50"/>
    <n v="0.75"/>
    <n v="1"/>
  </r>
  <r>
    <n v="451"/>
    <n v="16"/>
    <n v="12"/>
    <n v="2023"/>
    <s v="Saturday"/>
    <s v="Dec"/>
    <d v="2023-12-16T00:00:00"/>
    <s v="CUST451"/>
    <x v="1"/>
    <x v="0"/>
    <n v="45"/>
    <x v="2"/>
    <n v="1"/>
    <n v="30"/>
    <n v="30"/>
    <n v="0.44999999999999996"/>
    <n v="0.6"/>
  </r>
  <r>
    <n v="452"/>
    <n v="8"/>
    <n v="5"/>
    <n v="2023"/>
    <s v="Monday"/>
    <s v="May"/>
    <d v="2023-05-08T00:00:00"/>
    <s v="CUST452"/>
    <x v="1"/>
    <x v="0"/>
    <n v="48"/>
    <x v="1"/>
    <n v="3"/>
    <n v="500"/>
    <n v="1500"/>
    <n v="22.5"/>
    <n v="30"/>
  </r>
  <r>
    <n v="453"/>
    <n v="8"/>
    <n v="12"/>
    <n v="2023"/>
    <s v="Friday"/>
    <s v="Dec"/>
    <d v="2023-12-08T00:00:00"/>
    <s v="CUST453"/>
    <x v="1"/>
    <x v="1"/>
    <n v="26"/>
    <x v="1"/>
    <n v="2"/>
    <n v="500"/>
    <n v="1000"/>
    <n v="15"/>
    <n v="20"/>
  </r>
  <r>
    <n v="454"/>
    <n v="22"/>
    <n v="2"/>
    <n v="2023"/>
    <s v="Wednesday"/>
    <s v="Feb"/>
    <d v="2023-02-22T00:00:00"/>
    <s v="CUST454"/>
    <x v="1"/>
    <x v="0"/>
    <n v="46"/>
    <x v="0"/>
    <n v="1"/>
    <n v="25"/>
    <n v="25"/>
    <n v="0.375"/>
    <n v="0.5"/>
  </r>
  <r>
    <n v="455"/>
    <n v="1"/>
    <n v="7"/>
    <n v="2023"/>
    <s v="Saturday"/>
    <s v="Jul"/>
    <d v="2023-07-01T00:00:00"/>
    <s v="CUST455"/>
    <x v="0"/>
    <x v="0"/>
    <n v="31"/>
    <x v="2"/>
    <n v="4"/>
    <n v="25"/>
    <n v="100"/>
    <n v="1.5"/>
    <n v="2"/>
  </r>
  <r>
    <n v="456"/>
    <n v="14"/>
    <n v="10"/>
    <n v="2023"/>
    <s v="Saturday"/>
    <s v="Oct"/>
    <d v="2023-10-14T00:00:00"/>
    <s v="CUST456"/>
    <x v="0"/>
    <x v="2"/>
    <n v="57"/>
    <x v="2"/>
    <n v="2"/>
    <n v="30"/>
    <n v="60"/>
    <n v="0.89999999999999991"/>
    <n v="1.2"/>
  </r>
  <r>
    <n v="457"/>
    <n v="28"/>
    <n v="7"/>
    <n v="2023"/>
    <s v="Friday"/>
    <s v="Jul"/>
    <d v="2023-07-28T00:00:00"/>
    <s v="CUST457"/>
    <x v="1"/>
    <x v="2"/>
    <n v="58"/>
    <x v="0"/>
    <n v="3"/>
    <n v="300"/>
    <n v="900"/>
    <n v="13.5"/>
    <n v="18"/>
  </r>
  <r>
    <n v="458"/>
    <n v="14"/>
    <n v="11"/>
    <n v="2023"/>
    <s v="Tuesday"/>
    <s v="Nov"/>
    <d v="2023-11-14T00:00:00"/>
    <s v="CUST458"/>
    <x v="1"/>
    <x v="0"/>
    <n v="39"/>
    <x v="2"/>
    <n v="4"/>
    <n v="25"/>
    <n v="100"/>
    <n v="1.5"/>
    <n v="2"/>
  </r>
  <r>
    <n v="459"/>
    <n v="21"/>
    <n v="3"/>
    <n v="2023"/>
    <s v="Tuesday"/>
    <s v="Mar"/>
    <d v="2023-03-21T00:00:00"/>
    <s v="CUST459"/>
    <x v="0"/>
    <x v="1"/>
    <n v="28"/>
    <x v="1"/>
    <n v="4"/>
    <n v="300"/>
    <n v="1200"/>
    <n v="18"/>
    <n v="24"/>
  </r>
  <r>
    <n v="460"/>
    <n v="2"/>
    <n v="5"/>
    <n v="2023"/>
    <s v="Tuesday"/>
    <s v="May"/>
    <d v="2023-05-02T00:00:00"/>
    <s v="CUST460"/>
    <x v="0"/>
    <x v="0"/>
    <n v="40"/>
    <x v="0"/>
    <n v="1"/>
    <n v="50"/>
    <n v="50"/>
    <n v="0.75"/>
    <n v="1"/>
  </r>
  <r>
    <n v="461"/>
    <n v="25"/>
    <n v="3"/>
    <n v="2023"/>
    <s v="Saturday"/>
    <s v="Mar"/>
    <d v="2023-03-25T00:00:00"/>
    <s v="CUST461"/>
    <x v="1"/>
    <x v="1"/>
    <n v="18"/>
    <x v="0"/>
    <n v="2"/>
    <n v="500"/>
    <n v="1000"/>
    <n v="15"/>
    <n v="20"/>
  </r>
  <r>
    <n v="462"/>
    <n v="1"/>
    <n v="4"/>
    <n v="2023"/>
    <s v="Saturday"/>
    <s v="Apr"/>
    <d v="2023-04-01T00:00:00"/>
    <s v="CUST462"/>
    <x v="0"/>
    <x v="2"/>
    <n v="63"/>
    <x v="2"/>
    <n v="4"/>
    <n v="300"/>
    <n v="1200"/>
    <n v="18"/>
    <n v="24"/>
  </r>
  <r>
    <n v="463"/>
    <n v="31"/>
    <n v="7"/>
    <n v="2023"/>
    <s v="Monday"/>
    <s v="Jul"/>
    <d v="2023-07-31T00:00:00"/>
    <s v="CUST463"/>
    <x v="1"/>
    <x v="2"/>
    <n v="54"/>
    <x v="0"/>
    <n v="3"/>
    <n v="500"/>
    <n v="1500"/>
    <n v="22.5"/>
    <n v="30"/>
  </r>
  <r>
    <n v="464"/>
    <n v="13"/>
    <n v="1"/>
    <n v="2023"/>
    <s v="Friday"/>
    <s v="Jan"/>
    <d v="2023-01-13T00:00:00"/>
    <s v="CUST464"/>
    <x v="0"/>
    <x v="0"/>
    <n v="38"/>
    <x v="2"/>
    <n v="2"/>
    <n v="300"/>
    <n v="600"/>
    <n v="9"/>
    <n v="12"/>
  </r>
  <r>
    <n v="465"/>
    <n v="2"/>
    <n v="4"/>
    <n v="2023"/>
    <s v="Sunday"/>
    <s v="Apr"/>
    <d v="2023-04-02T00:00:00"/>
    <s v="CUST465"/>
    <x v="1"/>
    <x v="0"/>
    <n v="43"/>
    <x v="2"/>
    <n v="3"/>
    <n v="50"/>
    <n v="150"/>
    <n v="2.25"/>
    <n v="3"/>
  </r>
  <r>
    <n v="466"/>
    <n v="20"/>
    <n v="6"/>
    <n v="2023"/>
    <s v="Tuesday"/>
    <s v="Jun"/>
    <d v="2023-06-20T00:00:00"/>
    <s v="CUST466"/>
    <x v="0"/>
    <x v="2"/>
    <n v="63"/>
    <x v="2"/>
    <n v="4"/>
    <n v="25"/>
    <n v="100"/>
    <n v="1.5"/>
    <n v="2"/>
  </r>
  <r>
    <n v="467"/>
    <n v="30"/>
    <n v="7"/>
    <n v="2023"/>
    <s v="Sunday"/>
    <s v="Jul"/>
    <d v="2023-07-30T00:00:00"/>
    <s v="CUST467"/>
    <x v="1"/>
    <x v="2"/>
    <n v="53"/>
    <x v="2"/>
    <n v="3"/>
    <n v="50"/>
    <n v="150"/>
    <n v="2.25"/>
    <n v="3"/>
  </r>
  <r>
    <n v="468"/>
    <n v="9"/>
    <n v="12"/>
    <n v="2023"/>
    <s v="Saturday"/>
    <s v="Dec"/>
    <d v="2023-12-09T00:00:00"/>
    <s v="CUST468"/>
    <x v="0"/>
    <x v="0"/>
    <n v="40"/>
    <x v="2"/>
    <n v="1"/>
    <n v="25"/>
    <n v="25"/>
    <n v="0.375"/>
    <n v="0.5"/>
  </r>
  <r>
    <n v="469"/>
    <n v="8"/>
    <n v="5"/>
    <n v="2023"/>
    <s v="Monday"/>
    <s v="May"/>
    <d v="2023-05-08T00:00:00"/>
    <s v="CUST469"/>
    <x v="0"/>
    <x v="1"/>
    <n v="18"/>
    <x v="0"/>
    <n v="3"/>
    <n v="25"/>
    <n v="75"/>
    <n v="1.125"/>
    <n v="1.5"/>
  </r>
  <r>
    <n v="470"/>
    <n v="17"/>
    <n v="5"/>
    <n v="2023"/>
    <s v="Wednesday"/>
    <s v="May"/>
    <d v="2023-05-17T00:00:00"/>
    <s v="CUST470"/>
    <x v="1"/>
    <x v="2"/>
    <n v="57"/>
    <x v="1"/>
    <n v="2"/>
    <n v="500"/>
    <n v="1000"/>
    <n v="15"/>
    <n v="20"/>
  </r>
  <r>
    <n v="471"/>
    <n v="23"/>
    <n v="3"/>
    <n v="2023"/>
    <s v="Thursday"/>
    <s v="Mar"/>
    <d v="2023-03-23T00:00:00"/>
    <s v="CUST471"/>
    <x v="0"/>
    <x v="0"/>
    <n v="32"/>
    <x v="1"/>
    <n v="3"/>
    <n v="50"/>
    <n v="150"/>
    <n v="2.25"/>
    <n v="3"/>
  </r>
  <r>
    <n v="472"/>
    <n v="26"/>
    <n v="12"/>
    <n v="2023"/>
    <s v="Tuesday"/>
    <s v="Dec"/>
    <d v="2023-12-26T00:00:00"/>
    <s v="CUST472"/>
    <x v="1"/>
    <x v="0"/>
    <n v="38"/>
    <x v="0"/>
    <n v="3"/>
    <n v="300"/>
    <n v="900"/>
    <n v="13.5"/>
    <n v="18"/>
  </r>
  <r>
    <n v="473"/>
    <n v="25"/>
    <n v="2"/>
    <n v="2023"/>
    <s v="Saturday"/>
    <s v="Feb"/>
    <d v="2023-02-25T00:00:00"/>
    <s v="CUST473"/>
    <x v="0"/>
    <x v="2"/>
    <n v="64"/>
    <x v="0"/>
    <n v="1"/>
    <n v="50"/>
    <n v="50"/>
    <n v="0.75"/>
    <n v="1"/>
  </r>
  <r>
    <n v="474"/>
    <n v="15"/>
    <n v="7"/>
    <n v="2023"/>
    <s v="Saturday"/>
    <s v="Jul"/>
    <d v="2023-07-15T00:00:00"/>
    <s v="CUST474"/>
    <x v="1"/>
    <x v="1"/>
    <n v="26"/>
    <x v="1"/>
    <n v="3"/>
    <n v="500"/>
    <n v="1500"/>
    <n v="22.5"/>
    <n v="30"/>
  </r>
  <r>
    <n v="475"/>
    <n v="20"/>
    <n v="1"/>
    <n v="2023"/>
    <s v="Friday"/>
    <s v="Jan"/>
    <d v="2023-01-20T00:00:00"/>
    <s v="CUST475"/>
    <x v="0"/>
    <x v="1"/>
    <n v="26"/>
    <x v="1"/>
    <n v="3"/>
    <n v="25"/>
    <n v="75"/>
    <n v="1.125"/>
    <n v="1.5"/>
  </r>
  <r>
    <n v="476"/>
    <n v="29"/>
    <n v="8"/>
    <n v="2023"/>
    <s v="Tuesday"/>
    <s v="Aug"/>
    <d v="2023-08-29T00:00:00"/>
    <s v="CUST476"/>
    <x v="1"/>
    <x v="1"/>
    <n v="27"/>
    <x v="1"/>
    <n v="4"/>
    <n v="500"/>
    <n v="2000"/>
    <n v="30"/>
    <n v="40"/>
  </r>
  <r>
    <n v="477"/>
    <n v="24"/>
    <n v="4"/>
    <n v="2023"/>
    <s v="Monday"/>
    <s v="Apr"/>
    <d v="2023-04-24T00:00:00"/>
    <s v="CUST477"/>
    <x v="0"/>
    <x v="0"/>
    <n v="43"/>
    <x v="1"/>
    <n v="4"/>
    <n v="30"/>
    <n v="120"/>
    <n v="1.7999999999999998"/>
    <n v="2.4"/>
  </r>
  <r>
    <n v="478"/>
    <n v="13"/>
    <n v="4"/>
    <n v="2023"/>
    <s v="Thursday"/>
    <s v="Apr"/>
    <d v="2023-04-13T00:00:00"/>
    <s v="CUST478"/>
    <x v="1"/>
    <x v="2"/>
    <n v="58"/>
    <x v="1"/>
    <n v="2"/>
    <n v="30"/>
    <n v="60"/>
    <n v="0.89999999999999991"/>
    <n v="1.2"/>
  </r>
  <r>
    <n v="479"/>
    <n v="24"/>
    <n v="8"/>
    <n v="2023"/>
    <s v="Thursday"/>
    <s v="Aug"/>
    <d v="2023-08-24T00:00:00"/>
    <s v="CUST479"/>
    <x v="0"/>
    <x v="2"/>
    <n v="52"/>
    <x v="2"/>
    <n v="4"/>
    <n v="300"/>
    <n v="1200"/>
    <n v="18"/>
    <n v="24"/>
  </r>
  <r>
    <n v="480"/>
    <n v="29"/>
    <n v="6"/>
    <n v="2023"/>
    <s v="Thursday"/>
    <s v="Jun"/>
    <d v="2023-06-29T00:00:00"/>
    <s v="CUST480"/>
    <x v="1"/>
    <x v="0"/>
    <n v="42"/>
    <x v="0"/>
    <n v="4"/>
    <n v="500"/>
    <n v="2000"/>
    <n v="30"/>
    <n v="40"/>
  </r>
  <r>
    <n v="481"/>
    <n v="6"/>
    <n v="6"/>
    <n v="2023"/>
    <s v="Tuesday"/>
    <s v="Jun"/>
    <d v="2023-06-06T00:00:00"/>
    <s v="CUST481"/>
    <x v="1"/>
    <x v="0"/>
    <n v="43"/>
    <x v="2"/>
    <n v="4"/>
    <n v="300"/>
    <n v="1200"/>
    <n v="18"/>
    <n v="24"/>
  </r>
  <r>
    <n v="482"/>
    <n v="27"/>
    <n v="4"/>
    <n v="2023"/>
    <s v="Thursday"/>
    <s v="Apr"/>
    <d v="2023-04-27T00:00:00"/>
    <s v="CUST482"/>
    <x v="1"/>
    <x v="1"/>
    <n v="28"/>
    <x v="1"/>
    <n v="4"/>
    <n v="300"/>
    <n v="1200"/>
    <n v="18"/>
    <n v="24"/>
  </r>
  <r>
    <n v="483"/>
    <n v="25"/>
    <n v="4"/>
    <n v="2023"/>
    <s v="Tuesday"/>
    <s v="Apr"/>
    <d v="2023-04-25T00:00:00"/>
    <s v="CUST483"/>
    <x v="0"/>
    <x v="2"/>
    <n v="55"/>
    <x v="1"/>
    <n v="1"/>
    <n v="30"/>
    <n v="30"/>
    <n v="0.44999999999999996"/>
    <n v="0.6"/>
  </r>
  <r>
    <n v="484"/>
    <n v="13"/>
    <n v="1"/>
    <n v="2023"/>
    <s v="Friday"/>
    <s v="Jan"/>
    <d v="2023-01-13T00:00:00"/>
    <s v="CUST484"/>
    <x v="1"/>
    <x v="1"/>
    <n v="19"/>
    <x v="1"/>
    <n v="4"/>
    <n v="300"/>
    <n v="1200"/>
    <n v="18"/>
    <n v="24"/>
  </r>
  <r>
    <n v="485"/>
    <n v="4"/>
    <n v="12"/>
    <n v="2023"/>
    <s v="Monday"/>
    <s v="Dec"/>
    <d v="2023-12-04T00:00:00"/>
    <s v="CUST485"/>
    <x v="0"/>
    <x v="1"/>
    <n v="24"/>
    <x v="2"/>
    <n v="1"/>
    <n v="30"/>
    <n v="30"/>
    <n v="0.44999999999999996"/>
    <n v="0.6"/>
  </r>
  <r>
    <n v="486"/>
    <n v="9"/>
    <n v="4"/>
    <n v="2023"/>
    <s v="Sunday"/>
    <s v="Apr"/>
    <d v="2023-04-09T00:00:00"/>
    <s v="CUST486"/>
    <x v="1"/>
    <x v="0"/>
    <n v="35"/>
    <x v="2"/>
    <n v="1"/>
    <n v="25"/>
    <n v="25"/>
    <n v="0.375"/>
    <n v="0.5"/>
  </r>
  <r>
    <n v="487"/>
    <n v="24"/>
    <n v="7"/>
    <n v="2023"/>
    <s v="Monday"/>
    <s v="Jul"/>
    <d v="2023-07-24T00:00:00"/>
    <s v="CUST487"/>
    <x v="0"/>
    <x v="0"/>
    <n v="44"/>
    <x v="1"/>
    <n v="4"/>
    <n v="500"/>
    <n v="2000"/>
    <n v="30"/>
    <n v="40"/>
  </r>
  <r>
    <n v="488"/>
    <n v="18"/>
    <n v="6"/>
    <n v="2023"/>
    <s v="Sunday"/>
    <s v="Jun"/>
    <d v="2023-06-18T00:00:00"/>
    <s v="CUST488"/>
    <x v="1"/>
    <x v="2"/>
    <n v="51"/>
    <x v="2"/>
    <n v="3"/>
    <n v="300"/>
    <n v="900"/>
    <n v="13.5"/>
    <n v="18"/>
  </r>
  <r>
    <n v="489"/>
    <n v="23"/>
    <n v="5"/>
    <n v="2023"/>
    <s v="Tuesday"/>
    <s v="May"/>
    <d v="2023-05-23T00:00:00"/>
    <s v="CUST489"/>
    <x v="0"/>
    <x v="0"/>
    <n v="44"/>
    <x v="2"/>
    <n v="1"/>
    <n v="30"/>
    <n v="30"/>
    <n v="0.44999999999999996"/>
    <n v="0.6"/>
  </r>
  <r>
    <n v="490"/>
    <n v="5"/>
    <n v="2"/>
    <n v="2023"/>
    <s v="Sunday"/>
    <s v="Feb"/>
    <d v="2023-02-05T00:00:00"/>
    <s v="CUST490"/>
    <x v="0"/>
    <x v="0"/>
    <n v="34"/>
    <x v="1"/>
    <n v="3"/>
    <n v="50"/>
    <n v="150"/>
    <n v="2.25"/>
    <n v="3"/>
  </r>
  <r>
    <n v="491"/>
    <n v="23"/>
    <n v="5"/>
    <n v="2023"/>
    <s v="Tuesday"/>
    <s v="May"/>
    <d v="2023-05-23T00:00:00"/>
    <s v="CUST491"/>
    <x v="1"/>
    <x v="2"/>
    <n v="60"/>
    <x v="2"/>
    <n v="3"/>
    <n v="300"/>
    <n v="900"/>
    <n v="13.5"/>
    <n v="18"/>
  </r>
  <r>
    <n v="492"/>
    <n v="29"/>
    <n v="6"/>
    <n v="2023"/>
    <s v="Thursday"/>
    <s v="Jun"/>
    <d v="2023-06-29T00:00:00"/>
    <s v="CUST492"/>
    <x v="0"/>
    <x v="2"/>
    <n v="61"/>
    <x v="0"/>
    <n v="4"/>
    <n v="25"/>
    <n v="100"/>
    <n v="1.5"/>
    <n v="2"/>
  </r>
  <r>
    <n v="493"/>
    <n v="25"/>
    <n v="11"/>
    <n v="2023"/>
    <s v="Saturday"/>
    <s v="Nov"/>
    <d v="2023-11-25T00:00:00"/>
    <s v="CUST493"/>
    <x v="0"/>
    <x v="0"/>
    <n v="41"/>
    <x v="0"/>
    <n v="2"/>
    <n v="25"/>
    <n v="50"/>
    <n v="0.75"/>
    <n v="1"/>
  </r>
  <r>
    <n v="494"/>
    <n v="18"/>
    <n v="9"/>
    <n v="2023"/>
    <s v="Monday"/>
    <s v="Sep"/>
    <d v="2023-09-18T00:00:00"/>
    <s v="CUST494"/>
    <x v="1"/>
    <x v="0"/>
    <n v="42"/>
    <x v="0"/>
    <n v="4"/>
    <n v="50"/>
    <n v="200"/>
    <n v="3"/>
    <n v="4"/>
  </r>
  <r>
    <n v="495"/>
    <n v="24"/>
    <n v="7"/>
    <n v="2023"/>
    <s v="Monday"/>
    <s v="Jul"/>
    <d v="2023-07-24T00:00:00"/>
    <s v="CUST495"/>
    <x v="0"/>
    <x v="1"/>
    <n v="24"/>
    <x v="0"/>
    <n v="2"/>
    <n v="30"/>
    <n v="60"/>
    <n v="0.89999999999999991"/>
    <n v="1.2"/>
  </r>
  <r>
    <n v="496"/>
    <n v="14"/>
    <n v="12"/>
    <n v="2023"/>
    <s v="Thursday"/>
    <s v="Dec"/>
    <d v="2023-12-14T00:00:00"/>
    <s v="CUST496"/>
    <x v="0"/>
    <x v="1"/>
    <n v="23"/>
    <x v="1"/>
    <n v="2"/>
    <n v="300"/>
    <n v="600"/>
    <n v="9"/>
    <n v="12"/>
  </r>
  <r>
    <n v="497"/>
    <n v="2"/>
    <n v="10"/>
    <n v="2023"/>
    <s v="Monday"/>
    <s v="Oct"/>
    <d v="2023-10-02T00:00:00"/>
    <s v="CUST497"/>
    <x v="0"/>
    <x v="0"/>
    <n v="41"/>
    <x v="1"/>
    <n v="4"/>
    <n v="30"/>
    <n v="120"/>
    <n v="1.7999999999999998"/>
    <n v="2.4"/>
  </r>
  <r>
    <n v="498"/>
    <n v="19"/>
    <n v="6"/>
    <n v="2023"/>
    <s v="Monday"/>
    <s v="Jun"/>
    <d v="2023-06-19T00:00:00"/>
    <s v="CUST498"/>
    <x v="1"/>
    <x v="0"/>
    <n v="50"/>
    <x v="1"/>
    <n v="4"/>
    <n v="25"/>
    <n v="100"/>
    <n v="1.5"/>
    <n v="2"/>
  </r>
  <r>
    <n v="499"/>
    <n v="15"/>
    <n v="1"/>
    <n v="2023"/>
    <s v="Sunday"/>
    <s v="Jan"/>
    <d v="2023-01-15T00:00:00"/>
    <s v="CUST499"/>
    <x v="0"/>
    <x v="0"/>
    <n v="46"/>
    <x v="0"/>
    <n v="2"/>
    <n v="30"/>
    <n v="60"/>
    <n v="0.89999999999999991"/>
    <n v="1.2"/>
  </r>
  <r>
    <n v="500"/>
    <n v="1"/>
    <n v="3"/>
    <n v="2023"/>
    <s v="Wednesday"/>
    <s v="Mar"/>
    <d v="2023-03-01T00:00:00"/>
    <s v="CUST500"/>
    <x v="1"/>
    <x v="2"/>
    <n v="60"/>
    <x v="0"/>
    <n v="4"/>
    <n v="25"/>
    <n v="100"/>
    <n v="1.5"/>
    <n v="2"/>
  </r>
  <r>
    <n v="501"/>
    <n v="14"/>
    <n v="5"/>
    <n v="2023"/>
    <s v="Sunday"/>
    <s v="May"/>
    <d v="2023-05-14T00:00:00"/>
    <s v="CUST501"/>
    <x v="0"/>
    <x v="0"/>
    <n v="39"/>
    <x v="2"/>
    <n v="2"/>
    <n v="30"/>
    <n v="60"/>
    <n v="0.89999999999999991"/>
    <n v="1.2"/>
  </r>
  <r>
    <n v="502"/>
    <n v="2"/>
    <n v="4"/>
    <n v="2023"/>
    <s v="Sunday"/>
    <s v="Apr"/>
    <d v="2023-04-02T00:00:00"/>
    <s v="CUST502"/>
    <x v="0"/>
    <x v="0"/>
    <n v="43"/>
    <x v="2"/>
    <n v="3"/>
    <n v="50"/>
    <n v="150"/>
    <n v="2.25"/>
    <n v="3"/>
  </r>
  <r>
    <n v="503"/>
    <n v="25"/>
    <n v="10"/>
    <n v="2023"/>
    <s v="Wednesday"/>
    <s v="Oct"/>
    <d v="2023-10-25T00:00:00"/>
    <s v="CUST503"/>
    <x v="0"/>
    <x v="0"/>
    <n v="45"/>
    <x v="0"/>
    <n v="4"/>
    <n v="500"/>
    <n v="2000"/>
    <n v="30"/>
    <n v="40"/>
  </r>
  <r>
    <n v="504"/>
    <n v="16"/>
    <n v="5"/>
    <n v="2023"/>
    <s v="Tuesday"/>
    <s v="May"/>
    <d v="2023-05-16T00:00:00"/>
    <s v="CUST504"/>
    <x v="1"/>
    <x v="0"/>
    <n v="38"/>
    <x v="0"/>
    <n v="3"/>
    <n v="50"/>
    <n v="150"/>
    <n v="2.25"/>
    <n v="3"/>
  </r>
  <r>
    <n v="505"/>
    <n v="20"/>
    <n v="1"/>
    <n v="2023"/>
    <s v="Friday"/>
    <s v="Jan"/>
    <d v="2023-01-20T00:00:00"/>
    <s v="CUST505"/>
    <x v="0"/>
    <x v="1"/>
    <n v="24"/>
    <x v="0"/>
    <n v="1"/>
    <n v="50"/>
    <n v="50"/>
    <n v="0.75"/>
    <n v="1"/>
  </r>
  <r>
    <n v="506"/>
    <n v="25"/>
    <n v="2"/>
    <n v="2023"/>
    <s v="Saturday"/>
    <s v="Feb"/>
    <d v="2023-02-25T00:00:00"/>
    <s v="CUST506"/>
    <x v="0"/>
    <x v="0"/>
    <n v="34"/>
    <x v="0"/>
    <n v="3"/>
    <n v="500"/>
    <n v="1500"/>
    <n v="22.5"/>
    <n v="30"/>
  </r>
  <r>
    <n v="507"/>
    <n v="2"/>
    <n v="11"/>
    <n v="2023"/>
    <s v="Thursday"/>
    <s v="Nov"/>
    <d v="2023-11-02T00:00:00"/>
    <s v="CUST507"/>
    <x v="1"/>
    <x v="0"/>
    <n v="37"/>
    <x v="2"/>
    <n v="3"/>
    <n v="500"/>
    <n v="1500"/>
    <n v="22.5"/>
    <n v="30"/>
  </r>
  <r>
    <n v="508"/>
    <n v="11"/>
    <n v="8"/>
    <n v="2023"/>
    <s v="Friday"/>
    <s v="Aug"/>
    <d v="2023-08-11T00:00:00"/>
    <s v="CUST508"/>
    <x v="0"/>
    <x v="2"/>
    <n v="58"/>
    <x v="0"/>
    <n v="2"/>
    <n v="300"/>
    <n v="600"/>
    <n v="9"/>
    <n v="12"/>
  </r>
  <r>
    <n v="509"/>
    <n v="26"/>
    <n v="6"/>
    <n v="2023"/>
    <s v="Monday"/>
    <s v="Jun"/>
    <d v="2023-06-26T00:00:00"/>
    <s v="CUST509"/>
    <x v="1"/>
    <x v="0"/>
    <n v="37"/>
    <x v="2"/>
    <n v="3"/>
    <n v="300"/>
    <n v="900"/>
    <n v="13.5"/>
    <n v="18"/>
  </r>
  <r>
    <n v="510"/>
    <n v="10"/>
    <n v="6"/>
    <n v="2023"/>
    <s v="Saturday"/>
    <s v="Jun"/>
    <d v="2023-06-10T00:00:00"/>
    <s v="CUST510"/>
    <x v="1"/>
    <x v="0"/>
    <n v="39"/>
    <x v="0"/>
    <n v="4"/>
    <n v="50"/>
    <n v="200"/>
    <n v="3"/>
    <n v="4"/>
  </r>
  <r>
    <n v="511"/>
    <n v="12"/>
    <n v="8"/>
    <n v="2023"/>
    <s v="Saturday"/>
    <s v="Aug"/>
    <d v="2023-08-12T00:00:00"/>
    <s v="CUST511"/>
    <x v="0"/>
    <x v="0"/>
    <n v="45"/>
    <x v="0"/>
    <n v="2"/>
    <n v="50"/>
    <n v="100"/>
    <n v="1.5"/>
    <n v="2"/>
  </r>
  <r>
    <n v="512"/>
    <n v="7"/>
    <n v="11"/>
    <n v="2023"/>
    <s v="Tuesday"/>
    <s v="Nov"/>
    <d v="2023-11-07T00:00:00"/>
    <s v="CUST512"/>
    <x v="1"/>
    <x v="2"/>
    <n v="57"/>
    <x v="0"/>
    <n v="1"/>
    <n v="25"/>
    <n v="25"/>
    <n v="0.375"/>
    <n v="0.5"/>
  </r>
  <r>
    <n v="513"/>
    <n v="19"/>
    <n v="9"/>
    <n v="2023"/>
    <s v="Tuesday"/>
    <s v="Sep"/>
    <d v="2023-09-19T00:00:00"/>
    <s v="CUST513"/>
    <x v="0"/>
    <x v="1"/>
    <n v="24"/>
    <x v="2"/>
    <n v="4"/>
    <n v="25"/>
    <n v="100"/>
    <n v="1.5"/>
    <n v="2"/>
  </r>
  <r>
    <n v="514"/>
    <n v="1"/>
    <n v="3"/>
    <n v="2023"/>
    <s v="Wednesday"/>
    <s v="Mar"/>
    <d v="2023-03-01T00:00:00"/>
    <s v="CUST514"/>
    <x v="1"/>
    <x v="1"/>
    <n v="18"/>
    <x v="2"/>
    <n v="1"/>
    <n v="300"/>
    <n v="300"/>
    <n v="4.5"/>
    <n v="6"/>
  </r>
  <r>
    <n v="515"/>
    <n v="17"/>
    <n v="7"/>
    <n v="2023"/>
    <s v="Monday"/>
    <s v="Jul"/>
    <d v="2023-07-17T00:00:00"/>
    <s v="CUST515"/>
    <x v="1"/>
    <x v="0"/>
    <n v="49"/>
    <x v="1"/>
    <n v="3"/>
    <n v="300"/>
    <n v="900"/>
    <n v="13.5"/>
    <n v="18"/>
  </r>
  <r>
    <n v="516"/>
    <n v="23"/>
    <n v="10"/>
    <n v="2023"/>
    <s v="Monday"/>
    <s v="Oct"/>
    <d v="2023-10-23T00:00:00"/>
    <s v="CUST516"/>
    <x v="0"/>
    <x v="0"/>
    <n v="30"/>
    <x v="0"/>
    <n v="4"/>
    <n v="25"/>
    <n v="100"/>
    <n v="1.5"/>
    <n v="2"/>
  </r>
  <r>
    <n v="517"/>
    <n v="8"/>
    <n v="4"/>
    <n v="2023"/>
    <s v="Saturday"/>
    <s v="Apr"/>
    <d v="2023-04-08T00:00:00"/>
    <s v="CUST517"/>
    <x v="1"/>
    <x v="0"/>
    <n v="47"/>
    <x v="1"/>
    <n v="4"/>
    <n v="25"/>
    <n v="100"/>
    <n v="1.5"/>
    <n v="2"/>
  </r>
  <r>
    <n v="518"/>
    <n v="11"/>
    <n v="5"/>
    <n v="2023"/>
    <s v="Thursday"/>
    <s v="May"/>
    <d v="2023-05-11T00:00:00"/>
    <s v="CUST518"/>
    <x v="1"/>
    <x v="0"/>
    <n v="40"/>
    <x v="1"/>
    <n v="1"/>
    <n v="30"/>
    <n v="30"/>
    <n v="0.44999999999999996"/>
    <n v="0.6"/>
  </r>
  <r>
    <n v="519"/>
    <n v="23"/>
    <n v="1"/>
    <n v="2023"/>
    <s v="Monday"/>
    <s v="Jan"/>
    <d v="2023-01-23T00:00:00"/>
    <s v="CUST519"/>
    <x v="1"/>
    <x v="0"/>
    <n v="36"/>
    <x v="2"/>
    <n v="4"/>
    <n v="30"/>
    <n v="120"/>
    <n v="1.7999999999999998"/>
    <n v="2.4"/>
  </r>
  <r>
    <n v="520"/>
    <n v="29"/>
    <n v="12"/>
    <n v="2023"/>
    <s v="Friday"/>
    <s v="Dec"/>
    <d v="2023-12-29T00:00:00"/>
    <s v="CUST520"/>
    <x v="1"/>
    <x v="0"/>
    <n v="49"/>
    <x v="2"/>
    <n v="4"/>
    <n v="25"/>
    <n v="100"/>
    <n v="1.5"/>
    <n v="2"/>
  </r>
  <r>
    <n v="521"/>
    <n v="12"/>
    <n v="8"/>
    <n v="2023"/>
    <s v="Saturday"/>
    <s v="Aug"/>
    <d v="2023-08-12T00:00:00"/>
    <s v="CUST521"/>
    <x v="1"/>
    <x v="0"/>
    <n v="47"/>
    <x v="1"/>
    <n v="4"/>
    <n v="30"/>
    <n v="120"/>
    <n v="1.7999999999999998"/>
    <n v="2.4"/>
  </r>
  <r>
    <n v="522"/>
    <n v="1"/>
    <n v="1"/>
    <n v="2023"/>
    <s v="Sunday"/>
    <s v="Jan"/>
    <d v="2023-01-01T00:00:00"/>
    <s v="CUST522"/>
    <x v="0"/>
    <x v="0"/>
    <n v="46"/>
    <x v="0"/>
    <n v="3"/>
    <n v="500"/>
    <n v="1500"/>
    <n v="22.5"/>
    <n v="30"/>
  </r>
  <r>
    <n v="523"/>
    <n v="24"/>
    <n v="9"/>
    <n v="2023"/>
    <s v="Sunday"/>
    <s v="Sep"/>
    <d v="2023-09-24T00:00:00"/>
    <s v="CUST523"/>
    <x v="1"/>
    <x v="2"/>
    <n v="62"/>
    <x v="2"/>
    <n v="1"/>
    <n v="300"/>
    <n v="300"/>
    <n v="4.5"/>
    <n v="6"/>
  </r>
  <r>
    <n v="524"/>
    <n v="3"/>
    <n v="10"/>
    <n v="2023"/>
    <s v="Tuesday"/>
    <s v="Oct"/>
    <d v="2023-10-03T00:00:00"/>
    <s v="CUST524"/>
    <x v="0"/>
    <x v="0"/>
    <n v="46"/>
    <x v="0"/>
    <n v="4"/>
    <n v="300"/>
    <n v="1200"/>
    <n v="18"/>
    <n v="24"/>
  </r>
  <r>
    <n v="525"/>
    <n v="18"/>
    <n v="12"/>
    <n v="2023"/>
    <s v="Monday"/>
    <s v="Dec"/>
    <d v="2023-12-18T00:00:00"/>
    <s v="CUST525"/>
    <x v="1"/>
    <x v="0"/>
    <n v="47"/>
    <x v="0"/>
    <n v="2"/>
    <n v="25"/>
    <n v="50"/>
    <n v="0.75"/>
    <n v="1"/>
  </r>
  <r>
    <n v="526"/>
    <n v="10"/>
    <n v="12"/>
    <n v="2023"/>
    <s v="Sunday"/>
    <s v="Dec"/>
    <d v="2023-12-10T00:00:00"/>
    <s v="CUST526"/>
    <x v="0"/>
    <x v="0"/>
    <n v="33"/>
    <x v="1"/>
    <n v="2"/>
    <n v="50"/>
    <n v="100"/>
    <n v="1.5"/>
    <n v="2"/>
  </r>
  <r>
    <n v="527"/>
    <n v="11"/>
    <n v="4"/>
    <n v="2023"/>
    <s v="Tuesday"/>
    <s v="Apr"/>
    <d v="2023-04-11T00:00:00"/>
    <s v="CUST527"/>
    <x v="0"/>
    <x v="2"/>
    <n v="57"/>
    <x v="1"/>
    <n v="2"/>
    <n v="25"/>
    <n v="50"/>
    <n v="0.75"/>
    <n v="1"/>
  </r>
  <r>
    <n v="528"/>
    <n v="6"/>
    <n v="7"/>
    <n v="2023"/>
    <s v="Thursday"/>
    <s v="Jul"/>
    <d v="2023-07-06T00:00:00"/>
    <s v="CUST528"/>
    <x v="1"/>
    <x v="0"/>
    <n v="36"/>
    <x v="1"/>
    <n v="2"/>
    <n v="30"/>
    <n v="60"/>
    <n v="0.89999999999999991"/>
    <n v="1.2"/>
  </r>
  <r>
    <n v="529"/>
    <n v="9"/>
    <n v="8"/>
    <n v="2023"/>
    <s v="Wednesday"/>
    <s v="Aug"/>
    <d v="2023-08-09T00:00:00"/>
    <s v="CUST529"/>
    <x v="1"/>
    <x v="0"/>
    <n v="35"/>
    <x v="1"/>
    <n v="3"/>
    <n v="50"/>
    <n v="150"/>
    <n v="2.25"/>
    <n v="3"/>
  </r>
  <r>
    <n v="530"/>
    <n v="5"/>
    <n v="2"/>
    <n v="2023"/>
    <s v="Sunday"/>
    <s v="Feb"/>
    <d v="2023-02-05T00:00:00"/>
    <s v="CUST530"/>
    <x v="1"/>
    <x v="1"/>
    <n v="18"/>
    <x v="2"/>
    <n v="4"/>
    <n v="30"/>
    <n v="120"/>
    <n v="1.7999999999999998"/>
    <n v="2.4"/>
  </r>
  <r>
    <n v="531"/>
    <n v="7"/>
    <n v="12"/>
    <n v="2023"/>
    <s v="Thursday"/>
    <s v="Dec"/>
    <d v="2023-12-07T00:00:00"/>
    <s v="CUST531"/>
    <x v="0"/>
    <x v="0"/>
    <n v="31"/>
    <x v="2"/>
    <n v="1"/>
    <n v="500"/>
    <n v="500"/>
    <n v="7.5"/>
    <n v="10"/>
  </r>
  <r>
    <n v="532"/>
    <n v="19"/>
    <n v="6"/>
    <n v="2023"/>
    <s v="Monday"/>
    <s v="Jun"/>
    <d v="2023-06-19T00:00:00"/>
    <s v="CUST532"/>
    <x v="1"/>
    <x v="2"/>
    <n v="64"/>
    <x v="1"/>
    <n v="4"/>
    <n v="30"/>
    <n v="120"/>
    <n v="1.7999999999999998"/>
    <n v="2.4"/>
  </r>
  <r>
    <n v="533"/>
    <n v="16"/>
    <n v="11"/>
    <n v="2023"/>
    <s v="Thursday"/>
    <s v="Nov"/>
    <d v="2023-11-16T00:00:00"/>
    <s v="CUST533"/>
    <x v="0"/>
    <x v="1"/>
    <n v="19"/>
    <x v="2"/>
    <n v="3"/>
    <n v="500"/>
    <n v="1500"/>
    <n v="22.5"/>
    <n v="30"/>
  </r>
  <r>
    <n v="534"/>
    <n v="10"/>
    <n v="6"/>
    <n v="2023"/>
    <s v="Saturday"/>
    <s v="Jun"/>
    <d v="2023-06-10T00:00:00"/>
    <s v="CUST534"/>
    <x v="0"/>
    <x v="0"/>
    <n v="45"/>
    <x v="1"/>
    <n v="2"/>
    <n v="500"/>
    <n v="1000"/>
    <n v="15"/>
    <n v="20"/>
  </r>
  <r>
    <n v="535"/>
    <n v="6"/>
    <n v="12"/>
    <n v="2023"/>
    <s v="Wednesday"/>
    <s v="Dec"/>
    <d v="2023-12-06T00:00:00"/>
    <s v="CUST535"/>
    <x v="0"/>
    <x v="0"/>
    <n v="47"/>
    <x v="0"/>
    <n v="3"/>
    <n v="30"/>
    <n v="90"/>
    <n v="1.3499999999999999"/>
    <n v="1.8"/>
  </r>
  <r>
    <n v="536"/>
    <n v="5"/>
    <n v="3"/>
    <n v="2023"/>
    <s v="Sunday"/>
    <s v="Mar"/>
    <d v="2023-03-05T00:00:00"/>
    <s v="CUST536"/>
    <x v="1"/>
    <x v="2"/>
    <n v="55"/>
    <x v="0"/>
    <n v="4"/>
    <n v="30"/>
    <n v="120"/>
    <n v="1.7999999999999998"/>
    <n v="2.4"/>
  </r>
  <r>
    <n v="537"/>
    <n v="3"/>
    <n v="6"/>
    <n v="2023"/>
    <s v="Saturday"/>
    <s v="Jun"/>
    <d v="2023-06-03T00:00:00"/>
    <s v="CUST537"/>
    <x v="1"/>
    <x v="1"/>
    <n v="21"/>
    <x v="0"/>
    <n v="1"/>
    <n v="500"/>
    <n v="500"/>
    <n v="7.5"/>
    <n v="10"/>
  </r>
  <r>
    <n v="538"/>
    <n v="17"/>
    <n v="9"/>
    <n v="2023"/>
    <s v="Sunday"/>
    <s v="Sep"/>
    <d v="2023-09-17T00:00:00"/>
    <s v="CUST538"/>
    <x v="0"/>
    <x v="1"/>
    <n v="18"/>
    <x v="1"/>
    <n v="3"/>
    <n v="50"/>
    <n v="150"/>
    <n v="2.25"/>
    <n v="3"/>
  </r>
  <r>
    <n v="539"/>
    <n v="8"/>
    <n v="6"/>
    <n v="2023"/>
    <s v="Thursday"/>
    <s v="Jun"/>
    <d v="2023-06-08T00:00:00"/>
    <s v="CUST539"/>
    <x v="0"/>
    <x v="1"/>
    <n v="25"/>
    <x v="0"/>
    <n v="1"/>
    <n v="500"/>
    <n v="500"/>
    <n v="7.5"/>
    <n v="10"/>
  </r>
  <r>
    <n v="540"/>
    <n v="8"/>
    <n v="12"/>
    <n v="2023"/>
    <s v="Friday"/>
    <s v="Dec"/>
    <d v="2023-12-08T00:00:00"/>
    <s v="CUST540"/>
    <x v="1"/>
    <x v="0"/>
    <n v="46"/>
    <x v="2"/>
    <n v="3"/>
    <n v="300"/>
    <n v="900"/>
    <n v="13.5"/>
    <n v="18"/>
  </r>
  <r>
    <n v="541"/>
    <n v="29"/>
    <n v="7"/>
    <n v="2023"/>
    <s v="Saturday"/>
    <s v="Jul"/>
    <d v="2023-07-29T00:00:00"/>
    <s v="CUST541"/>
    <x v="0"/>
    <x v="2"/>
    <n v="56"/>
    <x v="0"/>
    <n v="1"/>
    <n v="500"/>
    <n v="500"/>
    <n v="7.5"/>
    <n v="10"/>
  </r>
  <r>
    <n v="542"/>
    <n v="17"/>
    <n v="6"/>
    <n v="2023"/>
    <s v="Saturday"/>
    <s v="Jun"/>
    <d v="2023-06-17T00:00:00"/>
    <s v="CUST542"/>
    <x v="1"/>
    <x v="1"/>
    <n v="20"/>
    <x v="0"/>
    <n v="1"/>
    <n v="50"/>
    <n v="50"/>
    <n v="0.75"/>
    <n v="1"/>
  </r>
  <r>
    <n v="543"/>
    <n v="26"/>
    <n v="7"/>
    <n v="2023"/>
    <s v="Wednesday"/>
    <s v="Jul"/>
    <d v="2023-07-26T00:00:00"/>
    <s v="CUST543"/>
    <x v="0"/>
    <x v="0"/>
    <n v="49"/>
    <x v="0"/>
    <n v="2"/>
    <n v="300"/>
    <n v="600"/>
    <n v="9"/>
    <n v="12"/>
  </r>
  <r>
    <n v="544"/>
    <n v="23"/>
    <n v="12"/>
    <n v="2023"/>
    <s v="Saturday"/>
    <s v="Dec"/>
    <d v="2023-12-23T00:00:00"/>
    <s v="CUST544"/>
    <x v="1"/>
    <x v="1"/>
    <n v="27"/>
    <x v="2"/>
    <n v="1"/>
    <n v="25"/>
    <n v="25"/>
    <n v="0.375"/>
    <n v="0.5"/>
  </r>
  <r>
    <n v="545"/>
    <n v="1"/>
    <n v="6"/>
    <n v="2023"/>
    <s v="Thursday"/>
    <s v="Jun"/>
    <d v="2023-06-01T00:00:00"/>
    <s v="CUST545"/>
    <x v="0"/>
    <x v="1"/>
    <n v="27"/>
    <x v="1"/>
    <n v="2"/>
    <n v="25"/>
    <n v="50"/>
    <n v="0.75"/>
    <n v="1"/>
  </r>
  <r>
    <n v="546"/>
    <n v="11"/>
    <n v="10"/>
    <n v="2023"/>
    <s v="Wednesday"/>
    <s v="Oct"/>
    <d v="2023-10-11T00:00:00"/>
    <s v="CUST546"/>
    <x v="1"/>
    <x v="0"/>
    <n v="36"/>
    <x v="2"/>
    <n v="4"/>
    <n v="50"/>
    <n v="200"/>
    <n v="3"/>
    <n v="4"/>
  </r>
  <r>
    <n v="547"/>
    <n v="7"/>
    <n v="3"/>
    <n v="2023"/>
    <s v="Tuesday"/>
    <s v="Mar"/>
    <d v="2023-03-07T00:00:00"/>
    <s v="CUST547"/>
    <x v="0"/>
    <x v="2"/>
    <n v="63"/>
    <x v="1"/>
    <n v="4"/>
    <n v="500"/>
    <n v="2000"/>
    <n v="30"/>
    <n v="40"/>
  </r>
  <r>
    <n v="548"/>
    <n v="9"/>
    <n v="4"/>
    <n v="2023"/>
    <s v="Sunday"/>
    <s v="Apr"/>
    <d v="2023-04-09T00:00:00"/>
    <s v="CUST548"/>
    <x v="1"/>
    <x v="2"/>
    <n v="51"/>
    <x v="1"/>
    <n v="2"/>
    <n v="30"/>
    <n v="60"/>
    <n v="0.89999999999999991"/>
    <n v="1.2"/>
  </r>
  <r>
    <n v="549"/>
    <n v="4"/>
    <n v="8"/>
    <n v="2023"/>
    <s v="Friday"/>
    <s v="Aug"/>
    <d v="2023-08-04T00:00:00"/>
    <s v="CUST549"/>
    <x v="1"/>
    <x v="0"/>
    <n v="50"/>
    <x v="0"/>
    <n v="2"/>
    <n v="50"/>
    <n v="100"/>
    <n v="1.5"/>
    <n v="2"/>
  </r>
  <r>
    <n v="550"/>
    <n v="7"/>
    <n v="12"/>
    <n v="2023"/>
    <s v="Thursday"/>
    <s v="Dec"/>
    <d v="2023-12-07T00:00:00"/>
    <s v="CUST550"/>
    <x v="0"/>
    <x v="0"/>
    <n v="40"/>
    <x v="1"/>
    <n v="3"/>
    <n v="300"/>
    <n v="900"/>
    <n v="13.5"/>
    <n v="18"/>
  </r>
  <r>
    <n v="551"/>
    <n v="14"/>
    <n v="7"/>
    <n v="2023"/>
    <s v="Friday"/>
    <s v="Jul"/>
    <d v="2023-07-14T00:00:00"/>
    <s v="CUST551"/>
    <x v="0"/>
    <x v="0"/>
    <n v="45"/>
    <x v="2"/>
    <n v="3"/>
    <n v="300"/>
    <n v="900"/>
    <n v="13.5"/>
    <n v="18"/>
  </r>
  <r>
    <n v="552"/>
    <n v="13"/>
    <n v="12"/>
    <n v="2023"/>
    <s v="Wednesday"/>
    <s v="Dec"/>
    <d v="2023-12-13T00:00:00"/>
    <s v="CUST552"/>
    <x v="1"/>
    <x v="0"/>
    <n v="49"/>
    <x v="2"/>
    <n v="3"/>
    <n v="25"/>
    <n v="75"/>
    <n v="1.125"/>
    <n v="1.5"/>
  </r>
  <r>
    <n v="553"/>
    <n v="31"/>
    <n v="3"/>
    <n v="2023"/>
    <s v="Friday"/>
    <s v="Mar"/>
    <d v="2023-03-31T00:00:00"/>
    <s v="CUST553"/>
    <x v="0"/>
    <x v="1"/>
    <n v="24"/>
    <x v="1"/>
    <n v="4"/>
    <n v="300"/>
    <n v="1200"/>
    <n v="18"/>
    <n v="24"/>
  </r>
  <r>
    <n v="554"/>
    <n v="12"/>
    <n v="11"/>
    <n v="2023"/>
    <s v="Sunday"/>
    <s v="Nov"/>
    <d v="2023-11-12T00:00:00"/>
    <s v="CUST554"/>
    <x v="1"/>
    <x v="0"/>
    <n v="46"/>
    <x v="0"/>
    <n v="3"/>
    <n v="50"/>
    <n v="150"/>
    <n v="2.25"/>
    <n v="3"/>
  </r>
  <r>
    <n v="555"/>
    <n v="19"/>
    <n v="10"/>
    <n v="2023"/>
    <s v="Thursday"/>
    <s v="Oct"/>
    <d v="2023-10-19T00:00:00"/>
    <s v="CUST555"/>
    <x v="0"/>
    <x v="1"/>
    <n v="25"/>
    <x v="0"/>
    <n v="1"/>
    <n v="300"/>
    <n v="300"/>
    <n v="4.5"/>
    <n v="6"/>
  </r>
  <r>
    <n v="556"/>
    <n v="4"/>
    <n v="6"/>
    <n v="2023"/>
    <s v="Sunday"/>
    <s v="Jun"/>
    <d v="2023-06-04T00:00:00"/>
    <s v="CUST556"/>
    <x v="1"/>
    <x v="1"/>
    <n v="18"/>
    <x v="2"/>
    <n v="1"/>
    <n v="50"/>
    <n v="50"/>
    <n v="0.75"/>
    <n v="1"/>
  </r>
  <r>
    <n v="557"/>
    <n v="27"/>
    <n v="7"/>
    <n v="2023"/>
    <s v="Thursday"/>
    <s v="Jul"/>
    <d v="2023-07-27T00:00:00"/>
    <s v="CUST557"/>
    <x v="1"/>
    <x v="1"/>
    <n v="20"/>
    <x v="0"/>
    <n v="3"/>
    <n v="30"/>
    <n v="90"/>
    <n v="1.3499999999999999"/>
    <n v="1.8"/>
  </r>
  <r>
    <n v="558"/>
    <n v="8"/>
    <n v="10"/>
    <n v="2023"/>
    <s v="Sunday"/>
    <s v="Oct"/>
    <d v="2023-10-08T00:00:00"/>
    <s v="CUST558"/>
    <x v="1"/>
    <x v="0"/>
    <n v="41"/>
    <x v="1"/>
    <n v="1"/>
    <n v="25"/>
    <n v="25"/>
    <n v="0.375"/>
    <n v="0.5"/>
  </r>
  <r>
    <n v="559"/>
    <n v="1"/>
    <n v="1"/>
    <n v="2023"/>
    <s v="Sunday"/>
    <s v="Jan"/>
    <d v="2023-01-01T00:00:00"/>
    <s v="CUST559"/>
    <x v="1"/>
    <x v="0"/>
    <n v="40"/>
    <x v="1"/>
    <n v="4"/>
    <n v="300"/>
    <n v="1200"/>
    <n v="18"/>
    <n v="24"/>
  </r>
  <r>
    <n v="560"/>
    <n v="5"/>
    <n v="6"/>
    <n v="2023"/>
    <s v="Monday"/>
    <s v="Jun"/>
    <d v="2023-06-05T00:00:00"/>
    <s v="CUST560"/>
    <x v="1"/>
    <x v="1"/>
    <n v="25"/>
    <x v="2"/>
    <n v="1"/>
    <n v="50"/>
    <n v="50"/>
    <n v="0.75"/>
    <n v="1"/>
  </r>
  <r>
    <n v="561"/>
    <n v="27"/>
    <n v="5"/>
    <n v="2023"/>
    <s v="Saturday"/>
    <s v="May"/>
    <d v="2023-05-27T00:00:00"/>
    <s v="CUST561"/>
    <x v="1"/>
    <x v="2"/>
    <n v="64"/>
    <x v="1"/>
    <n v="4"/>
    <n v="500"/>
    <n v="2000"/>
    <n v="30"/>
    <n v="40"/>
  </r>
  <r>
    <n v="562"/>
    <n v="18"/>
    <n v="4"/>
    <n v="2023"/>
    <s v="Tuesday"/>
    <s v="Apr"/>
    <d v="2023-04-18T00:00:00"/>
    <s v="CUST562"/>
    <x v="0"/>
    <x v="2"/>
    <n v="54"/>
    <x v="2"/>
    <n v="2"/>
    <n v="25"/>
    <n v="50"/>
    <n v="0.75"/>
    <n v="1"/>
  </r>
  <r>
    <n v="563"/>
    <n v="9"/>
    <n v="8"/>
    <n v="2023"/>
    <s v="Wednesday"/>
    <s v="Aug"/>
    <d v="2023-08-09T00:00:00"/>
    <s v="CUST563"/>
    <x v="0"/>
    <x v="1"/>
    <n v="20"/>
    <x v="1"/>
    <n v="2"/>
    <n v="30"/>
    <n v="60"/>
    <n v="0.89999999999999991"/>
    <n v="1.2"/>
  </r>
  <r>
    <n v="564"/>
    <n v="24"/>
    <n v="10"/>
    <n v="2023"/>
    <s v="Tuesday"/>
    <s v="Oct"/>
    <d v="2023-10-24T00:00:00"/>
    <s v="CUST564"/>
    <x v="0"/>
    <x v="0"/>
    <n v="50"/>
    <x v="2"/>
    <n v="2"/>
    <n v="50"/>
    <n v="100"/>
    <n v="1.5"/>
    <n v="2"/>
  </r>
  <r>
    <n v="565"/>
    <n v="7"/>
    <n v="11"/>
    <n v="2023"/>
    <s v="Tuesday"/>
    <s v="Nov"/>
    <d v="2023-11-07T00:00:00"/>
    <s v="CUST565"/>
    <x v="1"/>
    <x v="0"/>
    <n v="45"/>
    <x v="0"/>
    <n v="2"/>
    <n v="30"/>
    <n v="60"/>
    <n v="0.89999999999999991"/>
    <n v="1.2"/>
  </r>
  <r>
    <n v="566"/>
    <n v="2"/>
    <n v="12"/>
    <n v="2023"/>
    <s v="Saturday"/>
    <s v="Dec"/>
    <d v="2023-12-02T00:00:00"/>
    <s v="CUST566"/>
    <x v="1"/>
    <x v="2"/>
    <n v="64"/>
    <x v="1"/>
    <n v="1"/>
    <n v="30"/>
    <n v="30"/>
    <n v="0.44999999999999996"/>
    <n v="0.6"/>
  </r>
  <r>
    <n v="567"/>
    <n v="14"/>
    <n v="6"/>
    <n v="2023"/>
    <s v="Wednesday"/>
    <s v="Jun"/>
    <d v="2023-06-14T00:00:00"/>
    <s v="CUST567"/>
    <x v="1"/>
    <x v="1"/>
    <n v="25"/>
    <x v="1"/>
    <n v="3"/>
    <n v="300"/>
    <n v="900"/>
    <n v="13.5"/>
    <n v="18"/>
  </r>
  <r>
    <n v="568"/>
    <n v="27"/>
    <n v="8"/>
    <n v="2023"/>
    <s v="Sunday"/>
    <s v="Aug"/>
    <d v="2023-08-27T00:00:00"/>
    <s v="CUST568"/>
    <x v="1"/>
    <x v="2"/>
    <n v="51"/>
    <x v="2"/>
    <n v="1"/>
    <n v="300"/>
    <n v="300"/>
    <n v="4.5"/>
    <n v="6"/>
  </r>
  <r>
    <n v="569"/>
    <n v="15"/>
    <n v="8"/>
    <n v="2023"/>
    <s v="Tuesday"/>
    <s v="Aug"/>
    <d v="2023-08-15T00:00:00"/>
    <s v="CUST569"/>
    <x v="0"/>
    <x v="2"/>
    <n v="52"/>
    <x v="2"/>
    <n v="4"/>
    <n v="50"/>
    <n v="200"/>
    <n v="3"/>
    <n v="4"/>
  </r>
  <r>
    <n v="570"/>
    <n v="15"/>
    <n v="8"/>
    <n v="2023"/>
    <s v="Tuesday"/>
    <s v="Aug"/>
    <d v="2023-08-15T00:00:00"/>
    <s v="CUST570"/>
    <x v="0"/>
    <x v="0"/>
    <n v="49"/>
    <x v="1"/>
    <n v="1"/>
    <n v="500"/>
    <n v="500"/>
    <n v="7.5"/>
    <n v="10"/>
  </r>
  <r>
    <n v="571"/>
    <n v="12"/>
    <n v="12"/>
    <n v="2023"/>
    <s v="Tuesday"/>
    <s v="Dec"/>
    <d v="2023-12-12T00:00:00"/>
    <s v="CUST571"/>
    <x v="1"/>
    <x v="0"/>
    <n v="41"/>
    <x v="2"/>
    <n v="1"/>
    <n v="50"/>
    <n v="50"/>
    <n v="0.75"/>
    <n v="1"/>
  </r>
  <r>
    <n v="572"/>
    <n v="20"/>
    <n v="4"/>
    <n v="2023"/>
    <s v="Thursday"/>
    <s v="Apr"/>
    <d v="2023-04-20T00:00:00"/>
    <s v="CUST572"/>
    <x v="0"/>
    <x v="0"/>
    <n v="31"/>
    <x v="1"/>
    <n v="4"/>
    <n v="500"/>
    <n v="2000"/>
    <n v="30"/>
    <n v="40"/>
  </r>
  <r>
    <n v="573"/>
    <n v="19"/>
    <n v="9"/>
    <n v="2023"/>
    <s v="Tuesday"/>
    <s v="Sep"/>
    <d v="2023-09-19T00:00:00"/>
    <s v="CUST573"/>
    <x v="0"/>
    <x v="0"/>
    <n v="49"/>
    <x v="0"/>
    <n v="2"/>
    <n v="30"/>
    <n v="60"/>
    <n v="0.89999999999999991"/>
    <n v="1.2"/>
  </r>
  <r>
    <n v="574"/>
    <n v="31"/>
    <n v="8"/>
    <n v="2023"/>
    <s v="Thursday"/>
    <s v="Aug"/>
    <d v="2023-08-31T00:00:00"/>
    <s v="CUST574"/>
    <x v="1"/>
    <x v="2"/>
    <n v="63"/>
    <x v="2"/>
    <n v="2"/>
    <n v="25"/>
    <n v="50"/>
    <n v="0.75"/>
    <n v="1"/>
  </r>
  <r>
    <n v="575"/>
    <n v="28"/>
    <n v="3"/>
    <n v="2023"/>
    <s v="Tuesday"/>
    <s v="Mar"/>
    <d v="2023-03-28T00:00:00"/>
    <s v="CUST575"/>
    <x v="0"/>
    <x v="2"/>
    <n v="60"/>
    <x v="1"/>
    <n v="2"/>
    <n v="50"/>
    <n v="100"/>
    <n v="1.5"/>
    <n v="2"/>
  </r>
  <r>
    <n v="576"/>
    <n v="4"/>
    <n v="12"/>
    <n v="2023"/>
    <s v="Monday"/>
    <s v="Dec"/>
    <d v="2023-12-04T00:00:00"/>
    <s v="CUST576"/>
    <x v="1"/>
    <x v="0"/>
    <n v="33"/>
    <x v="0"/>
    <n v="3"/>
    <n v="50"/>
    <n v="150"/>
    <n v="2.25"/>
    <n v="3"/>
  </r>
  <r>
    <n v="577"/>
    <n v="13"/>
    <n v="2"/>
    <n v="2023"/>
    <s v="Monday"/>
    <s v="Feb"/>
    <d v="2023-02-13T00:00:00"/>
    <s v="CUST577"/>
    <x v="0"/>
    <x v="1"/>
    <n v="21"/>
    <x v="0"/>
    <n v="4"/>
    <n v="500"/>
    <n v="2000"/>
    <n v="30"/>
    <n v="40"/>
  </r>
  <r>
    <n v="578"/>
    <n v="26"/>
    <n v="5"/>
    <n v="2023"/>
    <s v="Friday"/>
    <s v="May"/>
    <d v="2023-05-26T00:00:00"/>
    <s v="CUST578"/>
    <x v="1"/>
    <x v="2"/>
    <n v="54"/>
    <x v="1"/>
    <n v="4"/>
    <n v="30"/>
    <n v="120"/>
    <n v="1.7999999999999998"/>
    <n v="2.4"/>
  </r>
  <r>
    <n v="579"/>
    <n v="21"/>
    <n v="9"/>
    <n v="2023"/>
    <s v="Thursday"/>
    <s v="Sep"/>
    <d v="2023-09-21T00:00:00"/>
    <s v="CUST579"/>
    <x v="1"/>
    <x v="0"/>
    <n v="38"/>
    <x v="2"/>
    <n v="1"/>
    <n v="30"/>
    <n v="30"/>
    <n v="0.44999999999999996"/>
    <n v="0.6"/>
  </r>
  <r>
    <n v="580"/>
    <n v="6"/>
    <n v="12"/>
    <n v="2023"/>
    <s v="Wednesday"/>
    <s v="Dec"/>
    <d v="2023-12-06T00:00:00"/>
    <s v="CUST580"/>
    <x v="1"/>
    <x v="0"/>
    <n v="31"/>
    <x v="1"/>
    <n v="3"/>
    <n v="500"/>
    <n v="1500"/>
    <n v="22.5"/>
    <n v="30"/>
  </r>
  <r>
    <n v="581"/>
    <n v="21"/>
    <n v="11"/>
    <n v="2023"/>
    <s v="Tuesday"/>
    <s v="Nov"/>
    <d v="2023-11-21T00:00:00"/>
    <s v="CUST581"/>
    <x v="1"/>
    <x v="0"/>
    <n v="48"/>
    <x v="0"/>
    <n v="2"/>
    <n v="30"/>
    <n v="60"/>
    <n v="0.89999999999999991"/>
    <n v="1.2"/>
  </r>
  <r>
    <n v="582"/>
    <n v="14"/>
    <n v="11"/>
    <n v="2023"/>
    <s v="Tuesday"/>
    <s v="Nov"/>
    <d v="2023-11-14T00:00:00"/>
    <s v="CUST582"/>
    <x v="0"/>
    <x v="0"/>
    <n v="35"/>
    <x v="1"/>
    <n v="3"/>
    <n v="300"/>
    <n v="900"/>
    <n v="13.5"/>
    <n v="18"/>
  </r>
  <r>
    <n v="583"/>
    <n v="21"/>
    <n v="6"/>
    <n v="2023"/>
    <s v="Wednesday"/>
    <s v="Jun"/>
    <d v="2023-06-21T00:00:00"/>
    <s v="CUST583"/>
    <x v="1"/>
    <x v="1"/>
    <n v="24"/>
    <x v="2"/>
    <n v="4"/>
    <n v="25"/>
    <n v="100"/>
    <n v="1.5"/>
    <n v="2"/>
  </r>
  <r>
    <n v="584"/>
    <n v="17"/>
    <n v="2"/>
    <n v="2023"/>
    <s v="Friday"/>
    <s v="Feb"/>
    <d v="2023-02-17T00:00:00"/>
    <s v="CUST584"/>
    <x v="1"/>
    <x v="1"/>
    <n v="27"/>
    <x v="0"/>
    <n v="4"/>
    <n v="50"/>
    <n v="200"/>
    <n v="3"/>
    <n v="4"/>
  </r>
  <r>
    <n v="585"/>
    <n v="1"/>
    <n v="5"/>
    <n v="2023"/>
    <s v="Monday"/>
    <s v="May"/>
    <d v="2023-05-01T00:00:00"/>
    <s v="CUST585"/>
    <x v="1"/>
    <x v="1"/>
    <n v="24"/>
    <x v="1"/>
    <n v="1"/>
    <n v="25"/>
    <n v="25"/>
    <n v="0.375"/>
    <n v="0.5"/>
  </r>
  <r>
    <n v="586"/>
    <n v="11"/>
    <n v="12"/>
    <n v="2023"/>
    <s v="Monday"/>
    <s v="Dec"/>
    <d v="2023-12-11T00:00:00"/>
    <s v="CUST586"/>
    <x v="0"/>
    <x v="0"/>
    <n v="50"/>
    <x v="2"/>
    <n v="1"/>
    <n v="50"/>
    <n v="50"/>
    <n v="0.75"/>
    <n v="1"/>
  </r>
  <r>
    <n v="587"/>
    <n v="8"/>
    <n v="6"/>
    <n v="2023"/>
    <s v="Thursday"/>
    <s v="Jun"/>
    <d v="2023-06-08T00:00:00"/>
    <s v="CUST587"/>
    <x v="1"/>
    <x v="0"/>
    <n v="40"/>
    <x v="0"/>
    <n v="4"/>
    <n v="300"/>
    <n v="1200"/>
    <n v="18"/>
    <n v="24"/>
  </r>
  <r>
    <n v="588"/>
    <n v="26"/>
    <n v="4"/>
    <n v="2023"/>
    <s v="Wednesday"/>
    <s v="Apr"/>
    <d v="2023-04-26T00:00:00"/>
    <s v="CUST588"/>
    <x v="0"/>
    <x v="0"/>
    <n v="38"/>
    <x v="2"/>
    <n v="2"/>
    <n v="30"/>
    <n v="60"/>
    <n v="0.89999999999999991"/>
    <n v="1.2"/>
  </r>
  <r>
    <n v="589"/>
    <n v="12"/>
    <n v="4"/>
    <n v="2023"/>
    <s v="Wednesday"/>
    <s v="Apr"/>
    <d v="2023-04-12T00:00:00"/>
    <s v="CUST589"/>
    <x v="1"/>
    <x v="0"/>
    <n v="36"/>
    <x v="0"/>
    <n v="2"/>
    <n v="500"/>
    <n v="1000"/>
    <n v="15"/>
    <n v="20"/>
  </r>
  <r>
    <n v="590"/>
    <n v="17"/>
    <n v="3"/>
    <n v="2023"/>
    <s v="Friday"/>
    <s v="Mar"/>
    <d v="2023-03-17T00:00:00"/>
    <s v="CUST590"/>
    <x v="0"/>
    <x v="0"/>
    <n v="36"/>
    <x v="1"/>
    <n v="3"/>
    <n v="300"/>
    <n v="900"/>
    <n v="13.5"/>
    <n v="18"/>
  </r>
  <r>
    <n v="591"/>
    <n v="13"/>
    <n v="1"/>
    <n v="2023"/>
    <s v="Friday"/>
    <s v="Jan"/>
    <d v="2023-01-13T00:00:00"/>
    <s v="CUST591"/>
    <x v="0"/>
    <x v="2"/>
    <n v="53"/>
    <x v="2"/>
    <n v="4"/>
    <n v="25"/>
    <n v="100"/>
    <n v="1.5"/>
    <n v="2"/>
  </r>
  <r>
    <n v="592"/>
    <n v="24"/>
    <n v="1"/>
    <n v="2023"/>
    <s v="Tuesday"/>
    <s v="Jan"/>
    <d v="2023-01-24T00:00:00"/>
    <s v="CUST592"/>
    <x v="1"/>
    <x v="0"/>
    <n v="46"/>
    <x v="0"/>
    <n v="4"/>
    <n v="500"/>
    <n v="2000"/>
    <n v="30"/>
    <n v="40"/>
  </r>
  <r>
    <n v="593"/>
    <n v="6"/>
    <n v="5"/>
    <n v="2023"/>
    <s v="Saturday"/>
    <s v="May"/>
    <d v="2023-05-06T00:00:00"/>
    <s v="CUST593"/>
    <x v="0"/>
    <x v="0"/>
    <n v="35"/>
    <x v="2"/>
    <n v="2"/>
    <n v="30"/>
    <n v="60"/>
    <n v="0.89999999999999991"/>
    <n v="1.2"/>
  </r>
  <r>
    <n v="594"/>
    <n v="1"/>
    <n v="9"/>
    <n v="2023"/>
    <s v="Friday"/>
    <s v="Sep"/>
    <d v="2023-09-01T00:00:00"/>
    <s v="CUST594"/>
    <x v="1"/>
    <x v="1"/>
    <n v="19"/>
    <x v="2"/>
    <n v="2"/>
    <n v="300"/>
    <n v="600"/>
    <n v="9"/>
    <n v="12"/>
  </r>
  <r>
    <n v="595"/>
    <n v="9"/>
    <n v="11"/>
    <n v="2023"/>
    <s v="Thursday"/>
    <s v="Nov"/>
    <d v="2023-11-09T00:00:00"/>
    <s v="CUST595"/>
    <x v="1"/>
    <x v="1"/>
    <n v="18"/>
    <x v="1"/>
    <n v="4"/>
    <n v="500"/>
    <n v="2000"/>
    <n v="30"/>
    <n v="40"/>
  </r>
  <r>
    <n v="596"/>
    <n v="7"/>
    <n v="2"/>
    <n v="2023"/>
    <s v="Tuesday"/>
    <s v="Feb"/>
    <d v="2023-02-07T00:00:00"/>
    <s v="CUST596"/>
    <x v="1"/>
    <x v="2"/>
    <n v="64"/>
    <x v="2"/>
    <n v="1"/>
    <n v="300"/>
    <n v="300"/>
    <n v="4.5"/>
    <n v="6"/>
  </r>
  <r>
    <n v="597"/>
    <n v="22"/>
    <n v="8"/>
    <n v="2023"/>
    <s v="Tuesday"/>
    <s v="Aug"/>
    <d v="2023-08-22T00:00:00"/>
    <s v="CUST597"/>
    <x v="0"/>
    <x v="1"/>
    <n v="22"/>
    <x v="0"/>
    <n v="4"/>
    <n v="300"/>
    <n v="1200"/>
    <n v="18"/>
    <n v="24"/>
  </r>
  <r>
    <n v="598"/>
    <n v="1"/>
    <n v="8"/>
    <n v="2023"/>
    <s v="Tuesday"/>
    <s v="Aug"/>
    <d v="2023-08-01T00:00:00"/>
    <s v="CUST598"/>
    <x v="0"/>
    <x v="0"/>
    <n v="37"/>
    <x v="0"/>
    <n v="4"/>
    <n v="30"/>
    <n v="120"/>
    <n v="1.7999999999999998"/>
    <n v="2.4"/>
  </r>
  <r>
    <n v="599"/>
    <n v="19"/>
    <n v="11"/>
    <n v="2023"/>
    <s v="Sunday"/>
    <s v="Nov"/>
    <d v="2023-11-19T00:00:00"/>
    <s v="CUST599"/>
    <x v="1"/>
    <x v="1"/>
    <n v="28"/>
    <x v="0"/>
    <n v="2"/>
    <n v="50"/>
    <n v="100"/>
    <n v="1.5"/>
    <n v="2"/>
  </r>
  <r>
    <n v="600"/>
    <n v="22"/>
    <n v="10"/>
    <n v="2023"/>
    <s v="Sunday"/>
    <s v="Oct"/>
    <d v="2023-10-22T00:00:00"/>
    <s v="CUST600"/>
    <x v="1"/>
    <x v="2"/>
    <n v="59"/>
    <x v="0"/>
    <n v="2"/>
    <n v="500"/>
    <n v="1000"/>
    <n v="15"/>
    <n v="20"/>
  </r>
  <r>
    <n v="601"/>
    <n v="10"/>
    <n v="4"/>
    <n v="2023"/>
    <s v="Monday"/>
    <s v="Apr"/>
    <d v="2023-04-10T00:00:00"/>
    <s v="CUST601"/>
    <x v="0"/>
    <x v="1"/>
    <n v="19"/>
    <x v="1"/>
    <n v="1"/>
    <n v="30"/>
    <n v="30"/>
    <n v="0.44999999999999996"/>
    <n v="0.6"/>
  </r>
  <r>
    <n v="602"/>
    <n v="23"/>
    <n v="12"/>
    <n v="2023"/>
    <s v="Saturday"/>
    <s v="Dec"/>
    <d v="2023-12-23T00:00:00"/>
    <s v="CUST602"/>
    <x v="1"/>
    <x v="1"/>
    <n v="20"/>
    <x v="2"/>
    <n v="1"/>
    <n v="300"/>
    <n v="300"/>
    <n v="4.5"/>
    <n v="6"/>
  </r>
  <r>
    <n v="603"/>
    <n v="16"/>
    <n v="7"/>
    <n v="2023"/>
    <s v="Sunday"/>
    <s v="Jul"/>
    <d v="2023-07-16T00:00:00"/>
    <s v="CUST603"/>
    <x v="1"/>
    <x v="0"/>
    <n v="40"/>
    <x v="1"/>
    <n v="3"/>
    <n v="30"/>
    <n v="90"/>
    <n v="1.3499999999999999"/>
    <n v="1.8"/>
  </r>
  <r>
    <n v="604"/>
    <n v="11"/>
    <n v="9"/>
    <n v="2023"/>
    <s v="Monday"/>
    <s v="Sep"/>
    <d v="2023-09-11T00:00:00"/>
    <s v="CUST604"/>
    <x v="1"/>
    <x v="1"/>
    <n v="29"/>
    <x v="2"/>
    <n v="4"/>
    <n v="50"/>
    <n v="200"/>
    <n v="3"/>
    <n v="4"/>
  </r>
  <r>
    <n v="605"/>
    <n v="24"/>
    <n v="7"/>
    <n v="2023"/>
    <s v="Monday"/>
    <s v="Jul"/>
    <d v="2023-07-24T00:00:00"/>
    <s v="CUST605"/>
    <x v="0"/>
    <x v="0"/>
    <n v="37"/>
    <x v="2"/>
    <n v="2"/>
    <n v="500"/>
    <n v="1000"/>
    <n v="15"/>
    <n v="20"/>
  </r>
  <r>
    <n v="606"/>
    <n v="5"/>
    <n v="5"/>
    <n v="2023"/>
    <s v="Friday"/>
    <s v="May"/>
    <d v="2023-05-05T00:00:00"/>
    <s v="CUST606"/>
    <x v="0"/>
    <x v="1"/>
    <n v="22"/>
    <x v="2"/>
    <n v="1"/>
    <n v="50"/>
    <n v="50"/>
    <n v="0.75"/>
    <n v="1"/>
  </r>
  <r>
    <n v="607"/>
    <n v="17"/>
    <n v="3"/>
    <n v="2023"/>
    <s v="Friday"/>
    <s v="Mar"/>
    <d v="2023-03-17T00:00:00"/>
    <s v="CUST607"/>
    <x v="0"/>
    <x v="2"/>
    <n v="54"/>
    <x v="1"/>
    <n v="3"/>
    <n v="25"/>
    <n v="75"/>
    <n v="1.125"/>
    <n v="1.5"/>
  </r>
  <r>
    <n v="608"/>
    <n v="2"/>
    <n v="12"/>
    <n v="2023"/>
    <s v="Saturday"/>
    <s v="Dec"/>
    <d v="2023-12-02T00:00:00"/>
    <s v="CUST608"/>
    <x v="1"/>
    <x v="2"/>
    <n v="55"/>
    <x v="2"/>
    <n v="3"/>
    <n v="500"/>
    <n v="1500"/>
    <n v="22.5"/>
    <n v="30"/>
  </r>
  <r>
    <n v="609"/>
    <n v="19"/>
    <n v="12"/>
    <n v="2023"/>
    <s v="Tuesday"/>
    <s v="Dec"/>
    <d v="2023-12-19T00:00:00"/>
    <s v="CUST609"/>
    <x v="1"/>
    <x v="0"/>
    <n v="47"/>
    <x v="1"/>
    <n v="2"/>
    <n v="50"/>
    <n v="100"/>
    <n v="1.5"/>
    <n v="2"/>
  </r>
  <r>
    <n v="610"/>
    <n v="3"/>
    <n v="1"/>
    <n v="2023"/>
    <s v="Tuesday"/>
    <s v="Jan"/>
    <d v="2023-01-03T00:00:00"/>
    <s v="CUST610"/>
    <x v="1"/>
    <x v="1"/>
    <n v="26"/>
    <x v="0"/>
    <n v="2"/>
    <n v="300"/>
    <n v="600"/>
    <n v="9"/>
    <n v="12"/>
  </r>
  <r>
    <n v="611"/>
    <n v="24"/>
    <n v="2"/>
    <n v="2023"/>
    <s v="Friday"/>
    <s v="Feb"/>
    <d v="2023-02-24T00:00:00"/>
    <s v="CUST611"/>
    <x v="0"/>
    <x v="2"/>
    <n v="51"/>
    <x v="0"/>
    <n v="3"/>
    <n v="500"/>
    <n v="1500"/>
    <n v="22.5"/>
    <n v="30"/>
  </r>
  <r>
    <n v="612"/>
    <n v="6"/>
    <n v="8"/>
    <n v="2023"/>
    <s v="Sunday"/>
    <s v="Aug"/>
    <d v="2023-08-06T00:00:00"/>
    <s v="CUST612"/>
    <x v="1"/>
    <x v="2"/>
    <n v="61"/>
    <x v="2"/>
    <n v="1"/>
    <n v="500"/>
    <n v="500"/>
    <n v="7.5"/>
    <n v="10"/>
  </r>
  <r>
    <n v="613"/>
    <n v="23"/>
    <n v="4"/>
    <n v="2023"/>
    <s v="Sunday"/>
    <s v="Apr"/>
    <d v="2023-04-23T00:00:00"/>
    <s v="CUST613"/>
    <x v="1"/>
    <x v="2"/>
    <n v="52"/>
    <x v="1"/>
    <n v="3"/>
    <n v="30"/>
    <n v="90"/>
    <n v="1.3499999999999999"/>
    <n v="1.8"/>
  </r>
  <r>
    <n v="614"/>
    <n v="1"/>
    <n v="4"/>
    <n v="2023"/>
    <s v="Saturday"/>
    <s v="Apr"/>
    <d v="2023-04-01T00:00:00"/>
    <s v="CUST614"/>
    <x v="1"/>
    <x v="0"/>
    <n v="39"/>
    <x v="0"/>
    <n v="4"/>
    <n v="300"/>
    <n v="1200"/>
    <n v="18"/>
    <n v="24"/>
  </r>
  <r>
    <n v="615"/>
    <n v="23"/>
    <n v="12"/>
    <n v="2023"/>
    <s v="Saturday"/>
    <s v="Dec"/>
    <d v="2023-12-23T00:00:00"/>
    <s v="CUST615"/>
    <x v="1"/>
    <x v="2"/>
    <n v="61"/>
    <x v="1"/>
    <n v="4"/>
    <n v="25"/>
    <n v="100"/>
    <n v="1.5"/>
    <n v="2"/>
  </r>
  <r>
    <n v="616"/>
    <n v="23"/>
    <n v="9"/>
    <n v="2023"/>
    <s v="Saturday"/>
    <s v="Sep"/>
    <d v="2023-09-23T00:00:00"/>
    <s v="CUST616"/>
    <x v="0"/>
    <x v="0"/>
    <n v="41"/>
    <x v="1"/>
    <n v="2"/>
    <n v="50"/>
    <n v="100"/>
    <n v="1.5"/>
    <n v="2"/>
  </r>
  <r>
    <n v="617"/>
    <n v="26"/>
    <n v="8"/>
    <n v="2023"/>
    <s v="Saturday"/>
    <s v="Aug"/>
    <d v="2023-08-26T00:00:00"/>
    <s v="CUST617"/>
    <x v="0"/>
    <x v="0"/>
    <n v="34"/>
    <x v="2"/>
    <n v="1"/>
    <n v="30"/>
    <n v="30"/>
    <n v="0.44999999999999996"/>
    <n v="0.6"/>
  </r>
  <r>
    <n v="618"/>
    <n v="26"/>
    <n v="1"/>
    <n v="2023"/>
    <s v="Thursday"/>
    <s v="Jan"/>
    <d v="2023-01-26T00:00:00"/>
    <s v="CUST618"/>
    <x v="1"/>
    <x v="1"/>
    <n v="27"/>
    <x v="0"/>
    <n v="1"/>
    <n v="50"/>
    <n v="50"/>
    <n v="0.75"/>
    <n v="1"/>
  </r>
  <r>
    <n v="619"/>
    <n v="13"/>
    <n v="10"/>
    <n v="2023"/>
    <s v="Friday"/>
    <s v="Oct"/>
    <d v="2023-10-13T00:00:00"/>
    <s v="CUST619"/>
    <x v="0"/>
    <x v="0"/>
    <n v="47"/>
    <x v="2"/>
    <n v="4"/>
    <n v="25"/>
    <n v="100"/>
    <n v="1.5"/>
    <n v="2"/>
  </r>
  <r>
    <n v="620"/>
    <n v="8"/>
    <n v="5"/>
    <n v="2023"/>
    <s v="Monday"/>
    <s v="May"/>
    <d v="2023-05-08T00:00:00"/>
    <s v="CUST620"/>
    <x v="0"/>
    <x v="2"/>
    <n v="63"/>
    <x v="2"/>
    <n v="3"/>
    <n v="25"/>
    <n v="75"/>
    <n v="1.125"/>
    <n v="1.5"/>
  </r>
  <r>
    <n v="621"/>
    <n v="4"/>
    <n v="3"/>
    <n v="2023"/>
    <s v="Saturday"/>
    <s v="Mar"/>
    <d v="2023-03-04T00:00:00"/>
    <s v="CUST621"/>
    <x v="1"/>
    <x v="0"/>
    <n v="40"/>
    <x v="0"/>
    <n v="2"/>
    <n v="500"/>
    <n v="1000"/>
    <n v="15"/>
    <n v="20"/>
  </r>
  <r>
    <n v="622"/>
    <n v="22"/>
    <n v="8"/>
    <n v="2023"/>
    <s v="Tuesday"/>
    <s v="Aug"/>
    <d v="2023-08-22T00:00:00"/>
    <s v="CUST622"/>
    <x v="1"/>
    <x v="0"/>
    <n v="49"/>
    <x v="0"/>
    <n v="3"/>
    <n v="25"/>
    <n v="75"/>
    <n v="1.125"/>
    <n v="1.5"/>
  </r>
  <r>
    <n v="623"/>
    <n v="10"/>
    <n v="3"/>
    <n v="2023"/>
    <s v="Friday"/>
    <s v="Mar"/>
    <d v="2023-03-10T00:00:00"/>
    <s v="CUST623"/>
    <x v="0"/>
    <x v="0"/>
    <n v="34"/>
    <x v="1"/>
    <n v="3"/>
    <n v="50"/>
    <n v="150"/>
    <n v="2.25"/>
    <n v="3"/>
  </r>
  <r>
    <n v="624"/>
    <n v="26"/>
    <n v="8"/>
    <n v="2023"/>
    <s v="Saturday"/>
    <s v="Aug"/>
    <d v="2023-08-26T00:00:00"/>
    <s v="CUST624"/>
    <x v="1"/>
    <x v="0"/>
    <n v="34"/>
    <x v="0"/>
    <n v="3"/>
    <n v="300"/>
    <n v="900"/>
    <n v="13.5"/>
    <n v="18"/>
  </r>
  <r>
    <n v="625"/>
    <n v="8"/>
    <n v="12"/>
    <n v="2023"/>
    <s v="Friday"/>
    <s v="Dec"/>
    <d v="2023-12-08T00:00:00"/>
    <s v="CUST625"/>
    <x v="0"/>
    <x v="0"/>
    <n v="31"/>
    <x v="1"/>
    <n v="1"/>
    <n v="300"/>
    <n v="300"/>
    <n v="4.5"/>
    <n v="6"/>
  </r>
  <r>
    <n v="626"/>
    <n v="29"/>
    <n v="9"/>
    <n v="2023"/>
    <s v="Friday"/>
    <s v="Sep"/>
    <d v="2023-09-29T00:00:00"/>
    <s v="CUST626"/>
    <x v="1"/>
    <x v="1"/>
    <n v="26"/>
    <x v="1"/>
    <n v="4"/>
    <n v="500"/>
    <n v="2000"/>
    <n v="30"/>
    <n v="40"/>
  </r>
  <r>
    <n v="627"/>
    <n v="14"/>
    <n v="10"/>
    <n v="2023"/>
    <s v="Saturday"/>
    <s v="Oct"/>
    <d v="2023-10-14T00:00:00"/>
    <s v="CUST627"/>
    <x v="0"/>
    <x v="2"/>
    <n v="57"/>
    <x v="1"/>
    <n v="1"/>
    <n v="50"/>
    <n v="50"/>
    <n v="0.75"/>
    <n v="1"/>
  </r>
  <r>
    <n v="628"/>
    <n v="1"/>
    <n v="11"/>
    <n v="2023"/>
    <s v="Wednesday"/>
    <s v="Nov"/>
    <d v="2023-11-01T00:00:00"/>
    <s v="CUST628"/>
    <x v="1"/>
    <x v="1"/>
    <n v="19"/>
    <x v="0"/>
    <n v="4"/>
    <n v="50"/>
    <n v="200"/>
    <n v="3"/>
    <n v="4"/>
  </r>
  <r>
    <n v="629"/>
    <n v="12"/>
    <n v="6"/>
    <n v="2023"/>
    <s v="Monday"/>
    <s v="Jun"/>
    <d v="2023-06-12T00:00:00"/>
    <s v="CUST629"/>
    <x v="0"/>
    <x v="2"/>
    <n v="62"/>
    <x v="2"/>
    <n v="2"/>
    <n v="25"/>
    <n v="50"/>
    <n v="0.75"/>
    <n v="1"/>
  </r>
  <r>
    <n v="630"/>
    <n v="15"/>
    <n v="8"/>
    <n v="2023"/>
    <s v="Tuesday"/>
    <s v="Aug"/>
    <d v="2023-08-15T00:00:00"/>
    <s v="CUST630"/>
    <x v="0"/>
    <x v="0"/>
    <n v="42"/>
    <x v="1"/>
    <n v="2"/>
    <n v="50"/>
    <n v="100"/>
    <n v="1.5"/>
    <n v="2"/>
  </r>
  <r>
    <n v="631"/>
    <n v="10"/>
    <n v="11"/>
    <n v="2023"/>
    <s v="Friday"/>
    <s v="Nov"/>
    <d v="2023-11-10T00:00:00"/>
    <s v="CUST631"/>
    <x v="0"/>
    <x v="2"/>
    <n v="56"/>
    <x v="2"/>
    <n v="3"/>
    <n v="30"/>
    <n v="90"/>
    <n v="1.3499999999999999"/>
    <n v="1.8"/>
  </r>
  <r>
    <n v="632"/>
    <n v="16"/>
    <n v="9"/>
    <n v="2023"/>
    <s v="Saturday"/>
    <s v="Sep"/>
    <d v="2023-09-16T00:00:00"/>
    <s v="CUST632"/>
    <x v="1"/>
    <x v="1"/>
    <n v="26"/>
    <x v="2"/>
    <n v="4"/>
    <n v="25"/>
    <n v="100"/>
    <n v="1.5"/>
    <n v="2"/>
  </r>
  <r>
    <n v="633"/>
    <n v="7"/>
    <n v="8"/>
    <n v="2023"/>
    <s v="Monday"/>
    <s v="Aug"/>
    <d v="2023-08-07T00:00:00"/>
    <s v="CUST633"/>
    <x v="0"/>
    <x v="0"/>
    <n v="39"/>
    <x v="0"/>
    <n v="4"/>
    <n v="30"/>
    <n v="120"/>
    <n v="1.7999999999999998"/>
    <n v="2.4"/>
  </r>
  <r>
    <n v="634"/>
    <n v="8"/>
    <n v="10"/>
    <n v="2023"/>
    <s v="Sunday"/>
    <s v="Oct"/>
    <d v="2023-10-08T00:00:00"/>
    <s v="CUST634"/>
    <x v="0"/>
    <x v="2"/>
    <n v="60"/>
    <x v="2"/>
    <n v="4"/>
    <n v="500"/>
    <n v="2000"/>
    <n v="30"/>
    <n v="40"/>
  </r>
  <r>
    <n v="635"/>
    <n v="17"/>
    <n v="8"/>
    <n v="2023"/>
    <s v="Thursday"/>
    <s v="Aug"/>
    <d v="2023-08-17T00:00:00"/>
    <s v="CUST635"/>
    <x v="1"/>
    <x v="2"/>
    <n v="63"/>
    <x v="2"/>
    <n v="3"/>
    <n v="300"/>
    <n v="900"/>
    <n v="13.5"/>
    <n v="18"/>
  </r>
  <r>
    <n v="636"/>
    <n v="23"/>
    <n v="3"/>
    <n v="2023"/>
    <s v="Thursday"/>
    <s v="Mar"/>
    <d v="2023-03-23T00:00:00"/>
    <s v="CUST636"/>
    <x v="1"/>
    <x v="1"/>
    <n v="21"/>
    <x v="0"/>
    <n v="3"/>
    <n v="500"/>
    <n v="1500"/>
    <n v="22.5"/>
    <n v="30"/>
  </r>
  <r>
    <n v="637"/>
    <n v="1"/>
    <n v="9"/>
    <n v="2023"/>
    <s v="Friday"/>
    <s v="Sep"/>
    <d v="2023-09-01T00:00:00"/>
    <s v="CUST637"/>
    <x v="0"/>
    <x v="0"/>
    <n v="43"/>
    <x v="1"/>
    <n v="2"/>
    <n v="300"/>
    <n v="600"/>
    <n v="9"/>
    <n v="12"/>
  </r>
  <r>
    <n v="638"/>
    <n v="19"/>
    <n v="8"/>
    <n v="2023"/>
    <s v="Saturday"/>
    <s v="Aug"/>
    <d v="2023-08-19T00:00:00"/>
    <s v="CUST638"/>
    <x v="0"/>
    <x v="0"/>
    <n v="46"/>
    <x v="2"/>
    <n v="1"/>
    <n v="500"/>
    <n v="500"/>
    <n v="7.5"/>
    <n v="10"/>
  </r>
  <r>
    <n v="639"/>
    <n v="13"/>
    <n v="5"/>
    <n v="2023"/>
    <s v="Saturday"/>
    <s v="May"/>
    <d v="2023-05-13T00:00:00"/>
    <s v="CUST639"/>
    <x v="1"/>
    <x v="2"/>
    <n v="62"/>
    <x v="0"/>
    <n v="4"/>
    <n v="50"/>
    <n v="200"/>
    <n v="3"/>
    <n v="4"/>
  </r>
  <r>
    <n v="640"/>
    <n v="7"/>
    <n v="5"/>
    <n v="2023"/>
    <s v="Sunday"/>
    <s v="May"/>
    <d v="2023-05-07T00:00:00"/>
    <s v="CUST640"/>
    <x v="1"/>
    <x v="2"/>
    <n v="51"/>
    <x v="2"/>
    <n v="4"/>
    <n v="30"/>
    <n v="120"/>
    <n v="1.7999999999999998"/>
    <n v="2.4"/>
  </r>
  <r>
    <n v="641"/>
    <n v="23"/>
    <n v="11"/>
    <n v="2023"/>
    <s v="Thursday"/>
    <s v="Nov"/>
    <d v="2023-11-23T00:00:00"/>
    <s v="CUST641"/>
    <x v="1"/>
    <x v="0"/>
    <n v="40"/>
    <x v="2"/>
    <n v="1"/>
    <n v="300"/>
    <n v="300"/>
    <n v="4.5"/>
    <n v="6"/>
  </r>
  <r>
    <n v="642"/>
    <n v="22"/>
    <n v="5"/>
    <n v="2023"/>
    <s v="Monday"/>
    <s v="May"/>
    <d v="2023-05-22T00:00:00"/>
    <s v="CUST642"/>
    <x v="1"/>
    <x v="2"/>
    <n v="54"/>
    <x v="1"/>
    <n v="4"/>
    <n v="25"/>
    <n v="100"/>
    <n v="1.5"/>
    <n v="2"/>
  </r>
  <r>
    <n v="643"/>
    <n v="24"/>
    <n v="9"/>
    <n v="2023"/>
    <s v="Sunday"/>
    <s v="Sep"/>
    <d v="2023-09-24T00:00:00"/>
    <s v="CUST643"/>
    <x v="1"/>
    <x v="1"/>
    <n v="28"/>
    <x v="2"/>
    <n v="3"/>
    <n v="30"/>
    <n v="90"/>
    <n v="1.3499999999999999"/>
    <n v="1.8"/>
  </r>
  <r>
    <n v="644"/>
    <n v="6"/>
    <n v="9"/>
    <n v="2023"/>
    <s v="Wednesday"/>
    <s v="Sep"/>
    <d v="2023-09-06T00:00:00"/>
    <s v="CUST644"/>
    <x v="0"/>
    <x v="1"/>
    <n v="23"/>
    <x v="0"/>
    <n v="3"/>
    <n v="25"/>
    <n v="75"/>
    <n v="1.125"/>
    <n v="1.5"/>
  </r>
  <r>
    <n v="645"/>
    <n v="17"/>
    <n v="11"/>
    <n v="2023"/>
    <s v="Friday"/>
    <s v="Nov"/>
    <d v="2023-11-17T00:00:00"/>
    <s v="CUST645"/>
    <x v="1"/>
    <x v="0"/>
    <n v="35"/>
    <x v="2"/>
    <n v="4"/>
    <n v="30"/>
    <n v="120"/>
    <n v="1.7999999999999998"/>
    <n v="2.4"/>
  </r>
  <r>
    <n v="646"/>
    <n v="3"/>
    <n v="5"/>
    <n v="2023"/>
    <s v="Wednesday"/>
    <s v="May"/>
    <d v="2023-05-03T00:00:00"/>
    <s v="CUST646"/>
    <x v="0"/>
    <x v="0"/>
    <n v="38"/>
    <x v="1"/>
    <n v="3"/>
    <n v="30"/>
    <n v="90"/>
    <n v="1.3499999999999999"/>
    <n v="1.8"/>
  </r>
  <r>
    <n v="647"/>
    <n v="21"/>
    <n v="5"/>
    <n v="2023"/>
    <s v="Sunday"/>
    <s v="May"/>
    <d v="2023-05-21T00:00:00"/>
    <s v="CUST647"/>
    <x v="0"/>
    <x v="2"/>
    <n v="59"/>
    <x v="1"/>
    <n v="3"/>
    <n v="500"/>
    <n v="1500"/>
    <n v="22.5"/>
    <n v="30"/>
  </r>
  <r>
    <n v="648"/>
    <n v="14"/>
    <n v="8"/>
    <n v="2023"/>
    <s v="Monday"/>
    <s v="Aug"/>
    <d v="2023-08-14T00:00:00"/>
    <s v="CUST648"/>
    <x v="0"/>
    <x v="2"/>
    <n v="53"/>
    <x v="0"/>
    <n v="4"/>
    <n v="300"/>
    <n v="1200"/>
    <n v="18"/>
    <n v="24"/>
  </r>
  <r>
    <n v="649"/>
    <n v="9"/>
    <n v="2"/>
    <n v="2023"/>
    <s v="Thursday"/>
    <s v="Feb"/>
    <d v="2023-02-09T00:00:00"/>
    <s v="CUST649"/>
    <x v="1"/>
    <x v="2"/>
    <n v="58"/>
    <x v="1"/>
    <n v="2"/>
    <n v="300"/>
    <n v="600"/>
    <n v="9"/>
    <n v="12"/>
  </r>
  <r>
    <n v="650"/>
    <n v="1"/>
    <n v="1"/>
    <n v="2024"/>
    <s v="Monday"/>
    <s v="Jan"/>
    <d v="2024-01-01T00:00:00"/>
    <s v="CUST650"/>
    <x v="0"/>
    <x v="2"/>
    <n v="55"/>
    <x v="2"/>
    <n v="1"/>
    <n v="30"/>
    <n v="30"/>
    <n v="0.44999999999999996"/>
    <n v="0.6"/>
  </r>
  <r>
    <n v="651"/>
    <n v="27"/>
    <n v="5"/>
    <n v="2023"/>
    <s v="Saturday"/>
    <s v="May"/>
    <d v="2023-05-27T00:00:00"/>
    <s v="CUST651"/>
    <x v="0"/>
    <x v="2"/>
    <n v="51"/>
    <x v="1"/>
    <n v="3"/>
    <n v="50"/>
    <n v="150"/>
    <n v="2.25"/>
    <n v="3"/>
  </r>
  <r>
    <n v="652"/>
    <n v="1"/>
    <n v="5"/>
    <n v="2023"/>
    <s v="Monday"/>
    <s v="May"/>
    <d v="2023-05-01T00:00:00"/>
    <s v="CUST652"/>
    <x v="1"/>
    <x v="0"/>
    <n v="34"/>
    <x v="0"/>
    <n v="2"/>
    <n v="50"/>
    <n v="100"/>
    <n v="1.5"/>
    <n v="2"/>
  </r>
  <r>
    <n v="653"/>
    <n v="20"/>
    <n v="5"/>
    <n v="2023"/>
    <s v="Saturday"/>
    <s v="May"/>
    <d v="2023-05-20T00:00:00"/>
    <s v="CUST653"/>
    <x v="0"/>
    <x v="2"/>
    <n v="54"/>
    <x v="1"/>
    <n v="3"/>
    <n v="25"/>
    <n v="75"/>
    <n v="1.125"/>
    <n v="1.5"/>
  </r>
  <r>
    <n v="654"/>
    <n v="21"/>
    <n v="6"/>
    <n v="2023"/>
    <s v="Wednesday"/>
    <s v="Jun"/>
    <d v="2023-06-21T00:00:00"/>
    <s v="CUST654"/>
    <x v="0"/>
    <x v="0"/>
    <n v="42"/>
    <x v="1"/>
    <n v="3"/>
    <n v="25"/>
    <n v="75"/>
    <n v="1.125"/>
    <n v="1.5"/>
  </r>
  <r>
    <n v="655"/>
    <n v="13"/>
    <n v="6"/>
    <n v="2023"/>
    <s v="Tuesday"/>
    <s v="Jun"/>
    <d v="2023-06-13T00:00:00"/>
    <s v="CUST655"/>
    <x v="1"/>
    <x v="2"/>
    <n v="55"/>
    <x v="1"/>
    <n v="1"/>
    <n v="500"/>
    <n v="500"/>
    <n v="7.5"/>
    <n v="10"/>
  </r>
  <r>
    <n v="656"/>
    <n v="4"/>
    <n v="10"/>
    <n v="2023"/>
    <s v="Wednesday"/>
    <s v="Oct"/>
    <d v="2023-10-04T00:00:00"/>
    <s v="CUST656"/>
    <x v="0"/>
    <x v="1"/>
    <n v="29"/>
    <x v="0"/>
    <n v="3"/>
    <n v="30"/>
    <n v="90"/>
    <n v="1.3499999999999999"/>
    <n v="1.8"/>
  </r>
  <r>
    <n v="657"/>
    <n v="11"/>
    <n v="2"/>
    <n v="2023"/>
    <s v="Saturday"/>
    <s v="Feb"/>
    <d v="2023-02-11T00:00:00"/>
    <s v="CUST657"/>
    <x v="0"/>
    <x v="0"/>
    <n v="40"/>
    <x v="1"/>
    <n v="1"/>
    <n v="25"/>
    <n v="25"/>
    <n v="0.375"/>
    <n v="0.5"/>
  </r>
  <r>
    <n v="658"/>
    <n v="12"/>
    <n v="3"/>
    <n v="2023"/>
    <s v="Sunday"/>
    <s v="Mar"/>
    <d v="2023-03-12T00:00:00"/>
    <s v="CUST658"/>
    <x v="0"/>
    <x v="2"/>
    <n v="59"/>
    <x v="1"/>
    <n v="1"/>
    <n v="25"/>
    <n v="25"/>
    <n v="0.375"/>
    <n v="0.5"/>
  </r>
  <r>
    <n v="659"/>
    <n v="19"/>
    <n v="3"/>
    <n v="2023"/>
    <s v="Sunday"/>
    <s v="Mar"/>
    <d v="2023-03-19T00:00:00"/>
    <s v="CUST659"/>
    <x v="1"/>
    <x v="0"/>
    <n v="39"/>
    <x v="2"/>
    <n v="1"/>
    <n v="30"/>
    <n v="30"/>
    <n v="0.44999999999999996"/>
    <n v="0.6"/>
  </r>
  <r>
    <n v="660"/>
    <n v="29"/>
    <n v="4"/>
    <n v="2023"/>
    <s v="Saturday"/>
    <s v="Apr"/>
    <d v="2023-04-29T00:00:00"/>
    <s v="CUST660"/>
    <x v="1"/>
    <x v="0"/>
    <n v="38"/>
    <x v="0"/>
    <n v="2"/>
    <n v="500"/>
    <n v="1000"/>
    <n v="15"/>
    <n v="20"/>
  </r>
  <r>
    <n v="661"/>
    <n v="16"/>
    <n v="7"/>
    <n v="2023"/>
    <s v="Sunday"/>
    <s v="Jul"/>
    <d v="2023-07-16T00:00:00"/>
    <s v="CUST661"/>
    <x v="1"/>
    <x v="0"/>
    <n v="44"/>
    <x v="1"/>
    <n v="4"/>
    <n v="25"/>
    <n v="100"/>
    <n v="1.5"/>
    <n v="2"/>
  </r>
  <r>
    <n v="662"/>
    <n v="22"/>
    <n v="12"/>
    <n v="2023"/>
    <s v="Friday"/>
    <s v="Dec"/>
    <d v="2023-12-22T00:00:00"/>
    <s v="CUST662"/>
    <x v="0"/>
    <x v="0"/>
    <n v="48"/>
    <x v="0"/>
    <n v="2"/>
    <n v="500"/>
    <n v="1000"/>
    <n v="15"/>
    <n v="20"/>
  </r>
  <r>
    <n v="663"/>
    <n v="20"/>
    <n v="3"/>
    <n v="2023"/>
    <s v="Monday"/>
    <s v="Mar"/>
    <d v="2023-03-20T00:00:00"/>
    <s v="CUST663"/>
    <x v="0"/>
    <x v="1"/>
    <n v="23"/>
    <x v="1"/>
    <n v="4"/>
    <n v="300"/>
    <n v="1200"/>
    <n v="18"/>
    <n v="24"/>
  </r>
  <r>
    <n v="664"/>
    <n v="28"/>
    <n v="12"/>
    <n v="2023"/>
    <s v="Thursday"/>
    <s v="Dec"/>
    <d v="2023-12-28T00:00:00"/>
    <s v="CUST664"/>
    <x v="1"/>
    <x v="0"/>
    <n v="44"/>
    <x v="1"/>
    <n v="4"/>
    <n v="500"/>
    <n v="2000"/>
    <n v="30"/>
    <n v="40"/>
  </r>
  <r>
    <n v="665"/>
    <n v="20"/>
    <n v="4"/>
    <n v="2023"/>
    <s v="Thursday"/>
    <s v="Apr"/>
    <d v="2023-04-20T00:00:00"/>
    <s v="CUST665"/>
    <x v="0"/>
    <x v="2"/>
    <n v="57"/>
    <x v="1"/>
    <n v="1"/>
    <n v="50"/>
    <n v="50"/>
    <n v="0.75"/>
    <n v="1"/>
  </r>
  <r>
    <n v="666"/>
    <n v="2"/>
    <n v="2"/>
    <n v="2023"/>
    <s v="Thursday"/>
    <s v="Feb"/>
    <d v="2023-02-02T00:00:00"/>
    <s v="CUST666"/>
    <x v="0"/>
    <x v="2"/>
    <n v="51"/>
    <x v="2"/>
    <n v="3"/>
    <n v="50"/>
    <n v="150"/>
    <n v="2.25"/>
    <n v="3"/>
  </r>
  <r>
    <n v="667"/>
    <n v="1"/>
    <n v="8"/>
    <n v="2023"/>
    <s v="Tuesday"/>
    <s v="Aug"/>
    <d v="2023-08-01T00:00:00"/>
    <s v="CUST667"/>
    <x v="1"/>
    <x v="1"/>
    <n v="29"/>
    <x v="2"/>
    <n v="1"/>
    <n v="500"/>
    <n v="500"/>
    <n v="7.5"/>
    <n v="10"/>
  </r>
  <r>
    <n v="668"/>
    <n v="28"/>
    <n v="7"/>
    <n v="2023"/>
    <s v="Friday"/>
    <s v="Jul"/>
    <d v="2023-07-28T00:00:00"/>
    <s v="CUST668"/>
    <x v="1"/>
    <x v="2"/>
    <n v="62"/>
    <x v="2"/>
    <n v="3"/>
    <n v="50"/>
    <n v="150"/>
    <n v="2.25"/>
    <n v="3"/>
  </r>
  <r>
    <n v="669"/>
    <n v="19"/>
    <n v="6"/>
    <n v="2023"/>
    <s v="Monday"/>
    <s v="Jun"/>
    <d v="2023-06-19T00:00:00"/>
    <s v="CUST669"/>
    <x v="0"/>
    <x v="1"/>
    <n v="24"/>
    <x v="0"/>
    <n v="4"/>
    <n v="300"/>
    <n v="1200"/>
    <n v="18"/>
    <n v="24"/>
  </r>
  <r>
    <n v="670"/>
    <n v="5"/>
    <n v="10"/>
    <n v="2023"/>
    <s v="Thursday"/>
    <s v="Oct"/>
    <d v="2023-10-05T00:00:00"/>
    <s v="CUST670"/>
    <x v="0"/>
    <x v="1"/>
    <n v="27"/>
    <x v="0"/>
    <n v="1"/>
    <n v="30"/>
    <n v="30"/>
    <n v="0.44999999999999996"/>
    <n v="0.6"/>
  </r>
  <r>
    <n v="671"/>
    <n v="27"/>
    <n v="8"/>
    <n v="2023"/>
    <s v="Sunday"/>
    <s v="Aug"/>
    <d v="2023-08-27T00:00:00"/>
    <s v="CUST671"/>
    <x v="0"/>
    <x v="2"/>
    <n v="62"/>
    <x v="2"/>
    <n v="3"/>
    <n v="50"/>
    <n v="150"/>
    <n v="2.25"/>
    <n v="3"/>
  </r>
  <r>
    <n v="672"/>
    <n v="1"/>
    <n v="8"/>
    <n v="2023"/>
    <s v="Tuesday"/>
    <s v="Aug"/>
    <d v="2023-08-01T00:00:00"/>
    <s v="CUST672"/>
    <x v="1"/>
    <x v="0"/>
    <n v="34"/>
    <x v="0"/>
    <n v="2"/>
    <n v="50"/>
    <n v="100"/>
    <n v="1.5"/>
    <n v="2"/>
  </r>
  <r>
    <n v="673"/>
    <n v="1"/>
    <n v="2"/>
    <n v="2023"/>
    <s v="Wednesday"/>
    <s v="Feb"/>
    <d v="2023-02-01T00:00:00"/>
    <s v="CUST673"/>
    <x v="1"/>
    <x v="0"/>
    <n v="43"/>
    <x v="1"/>
    <n v="3"/>
    <n v="500"/>
    <n v="1500"/>
    <n v="22.5"/>
    <n v="30"/>
  </r>
  <r>
    <n v="674"/>
    <n v="16"/>
    <n v="4"/>
    <n v="2023"/>
    <s v="Sunday"/>
    <s v="Apr"/>
    <d v="2023-04-16T00:00:00"/>
    <s v="CUST674"/>
    <x v="1"/>
    <x v="0"/>
    <n v="38"/>
    <x v="1"/>
    <n v="1"/>
    <n v="300"/>
    <n v="300"/>
    <n v="4.5"/>
    <n v="6"/>
  </r>
  <r>
    <n v="675"/>
    <n v="4"/>
    <n v="8"/>
    <n v="2023"/>
    <s v="Friday"/>
    <s v="Aug"/>
    <d v="2023-08-04T00:00:00"/>
    <s v="CUST675"/>
    <x v="1"/>
    <x v="0"/>
    <n v="45"/>
    <x v="1"/>
    <n v="2"/>
    <n v="30"/>
    <n v="60"/>
    <n v="0.89999999999999991"/>
    <n v="1.2"/>
  </r>
  <r>
    <n v="676"/>
    <n v="19"/>
    <n v="7"/>
    <n v="2023"/>
    <s v="Wednesday"/>
    <s v="Jul"/>
    <d v="2023-07-19T00:00:00"/>
    <s v="CUST676"/>
    <x v="0"/>
    <x v="2"/>
    <n v="63"/>
    <x v="2"/>
    <n v="3"/>
    <n v="500"/>
    <n v="1500"/>
    <n v="22.5"/>
    <n v="30"/>
  </r>
  <r>
    <n v="677"/>
    <n v="27"/>
    <n v="10"/>
    <n v="2023"/>
    <s v="Friday"/>
    <s v="Oct"/>
    <d v="2023-10-27T00:00:00"/>
    <s v="CUST677"/>
    <x v="1"/>
    <x v="1"/>
    <n v="19"/>
    <x v="0"/>
    <n v="3"/>
    <n v="500"/>
    <n v="1500"/>
    <n v="22.5"/>
    <n v="30"/>
  </r>
  <r>
    <n v="678"/>
    <n v="23"/>
    <n v="12"/>
    <n v="2023"/>
    <s v="Saturday"/>
    <s v="Dec"/>
    <d v="2023-12-23T00:00:00"/>
    <s v="CUST678"/>
    <x v="1"/>
    <x v="2"/>
    <n v="60"/>
    <x v="2"/>
    <n v="3"/>
    <n v="300"/>
    <n v="900"/>
    <n v="13.5"/>
    <n v="18"/>
  </r>
  <r>
    <n v="679"/>
    <n v="11"/>
    <n v="1"/>
    <n v="2023"/>
    <s v="Wednesday"/>
    <s v="Jan"/>
    <d v="2023-01-11T00:00:00"/>
    <s v="CUST679"/>
    <x v="1"/>
    <x v="1"/>
    <n v="18"/>
    <x v="0"/>
    <n v="3"/>
    <n v="30"/>
    <n v="90"/>
    <n v="1.3499999999999999"/>
    <n v="1.8"/>
  </r>
  <r>
    <n v="680"/>
    <n v="22"/>
    <n v="10"/>
    <n v="2023"/>
    <s v="Sunday"/>
    <s v="Oct"/>
    <d v="2023-10-22T00:00:00"/>
    <s v="CUST680"/>
    <x v="1"/>
    <x v="2"/>
    <n v="53"/>
    <x v="1"/>
    <n v="3"/>
    <n v="300"/>
    <n v="900"/>
    <n v="13.5"/>
    <n v="18"/>
  </r>
  <r>
    <n v="681"/>
    <n v="14"/>
    <n v="7"/>
    <n v="2023"/>
    <s v="Friday"/>
    <s v="Jul"/>
    <d v="2023-07-14T00:00:00"/>
    <s v="CUST681"/>
    <x v="1"/>
    <x v="0"/>
    <n v="43"/>
    <x v="2"/>
    <n v="2"/>
    <n v="30"/>
    <n v="60"/>
    <n v="0.89999999999999991"/>
    <n v="1.2"/>
  </r>
  <r>
    <n v="682"/>
    <n v="2"/>
    <n v="9"/>
    <n v="2023"/>
    <s v="Saturday"/>
    <s v="Sep"/>
    <d v="2023-09-02T00:00:00"/>
    <s v="CUST682"/>
    <x v="0"/>
    <x v="0"/>
    <n v="46"/>
    <x v="0"/>
    <n v="4"/>
    <n v="300"/>
    <n v="1200"/>
    <n v="18"/>
    <n v="24"/>
  </r>
  <r>
    <n v="683"/>
    <n v="4"/>
    <n v="1"/>
    <n v="2023"/>
    <s v="Wednesday"/>
    <s v="Jan"/>
    <d v="2023-01-04T00:00:00"/>
    <s v="CUST683"/>
    <x v="0"/>
    <x v="0"/>
    <n v="38"/>
    <x v="0"/>
    <n v="2"/>
    <n v="500"/>
    <n v="1000"/>
    <n v="15"/>
    <n v="20"/>
  </r>
  <r>
    <n v="684"/>
    <n v="30"/>
    <n v="6"/>
    <n v="2023"/>
    <s v="Friday"/>
    <s v="Jun"/>
    <d v="2023-06-30T00:00:00"/>
    <s v="CUST684"/>
    <x v="1"/>
    <x v="1"/>
    <n v="28"/>
    <x v="1"/>
    <n v="2"/>
    <n v="500"/>
    <n v="1000"/>
    <n v="15"/>
    <n v="20"/>
  </r>
  <r>
    <n v="685"/>
    <n v="2"/>
    <n v="6"/>
    <n v="2023"/>
    <s v="Friday"/>
    <s v="Jun"/>
    <d v="2023-06-02T00:00:00"/>
    <s v="CUST685"/>
    <x v="0"/>
    <x v="2"/>
    <n v="57"/>
    <x v="2"/>
    <n v="2"/>
    <n v="25"/>
    <n v="50"/>
    <n v="0.75"/>
    <n v="1"/>
  </r>
  <r>
    <n v="686"/>
    <n v="19"/>
    <n v="7"/>
    <n v="2023"/>
    <s v="Wednesday"/>
    <s v="Jul"/>
    <d v="2023-07-19T00:00:00"/>
    <s v="CUST686"/>
    <x v="1"/>
    <x v="1"/>
    <n v="28"/>
    <x v="2"/>
    <n v="4"/>
    <n v="50"/>
    <n v="200"/>
    <n v="3"/>
    <n v="4"/>
  </r>
  <r>
    <n v="687"/>
    <n v="3"/>
    <n v="8"/>
    <n v="2023"/>
    <s v="Thursday"/>
    <s v="Aug"/>
    <d v="2023-08-03T00:00:00"/>
    <s v="CUST687"/>
    <x v="1"/>
    <x v="2"/>
    <n v="53"/>
    <x v="2"/>
    <n v="1"/>
    <n v="300"/>
    <n v="300"/>
    <n v="4.5"/>
    <n v="6"/>
  </r>
  <r>
    <n v="688"/>
    <n v="3"/>
    <n v="10"/>
    <n v="2023"/>
    <s v="Tuesday"/>
    <s v="Oct"/>
    <d v="2023-10-03T00:00:00"/>
    <s v="CUST688"/>
    <x v="0"/>
    <x v="2"/>
    <n v="56"/>
    <x v="1"/>
    <n v="4"/>
    <n v="25"/>
    <n v="100"/>
    <n v="1.5"/>
    <n v="2"/>
  </r>
  <r>
    <n v="689"/>
    <n v="7"/>
    <n v="10"/>
    <n v="2023"/>
    <s v="Saturday"/>
    <s v="Oct"/>
    <d v="2023-10-07T00:00:00"/>
    <s v="CUST689"/>
    <x v="0"/>
    <x v="2"/>
    <n v="57"/>
    <x v="2"/>
    <n v="2"/>
    <n v="50"/>
    <n v="100"/>
    <n v="1.5"/>
    <n v="2"/>
  </r>
  <r>
    <n v="690"/>
    <n v="5"/>
    <n v="11"/>
    <n v="2023"/>
    <s v="Sunday"/>
    <s v="Nov"/>
    <d v="2023-11-05T00:00:00"/>
    <s v="CUST690"/>
    <x v="1"/>
    <x v="2"/>
    <n v="52"/>
    <x v="1"/>
    <n v="3"/>
    <n v="300"/>
    <n v="900"/>
    <n v="13.5"/>
    <n v="18"/>
  </r>
  <r>
    <n v="691"/>
    <n v="23"/>
    <n v="4"/>
    <n v="2023"/>
    <s v="Sunday"/>
    <s v="Apr"/>
    <d v="2023-04-23T00:00:00"/>
    <s v="CUST691"/>
    <x v="1"/>
    <x v="2"/>
    <n v="51"/>
    <x v="1"/>
    <n v="3"/>
    <n v="30"/>
    <n v="90"/>
    <n v="1.3499999999999999"/>
    <n v="1.8"/>
  </r>
  <r>
    <n v="692"/>
    <n v="7"/>
    <n v="9"/>
    <n v="2023"/>
    <s v="Thursday"/>
    <s v="Sep"/>
    <d v="2023-09-07T00:00:00"/>
    <s v="CUST692"/>
    <x v="1"/>
    <x v="2"/>
    <n v="64"/>
    <x v="1"/>
    <n v="2"/>
    <n v="50"/>
    <n v="100"/>
    <n v="1.5"/>
    <n v="2"/>
  </r>
  <r>
    <n v="693"/>
    <n v="23"/>
    <n v="4"/>
    <n v="2023"/>
    <s v="Sunday"/>
    <s v="Apr"/>
    <d v="2023-04-23T00:00:00"/>
    <s v="CUST693"/>
    <x v="0"/>
    <x v="0"/>
    <n v="41"/>
    <x v="0"/>
    <n v="3"/>
    <n v="500"/>
    <n v="1500"/>
    <n v="22.5"/>
    <n v="30"/>
  </r>
  <r>
    <n v="694"/>
    <n v="20"/>
    <n v="5"/>
    <n v="2023"/>
    <s v="Saturday"/>
    <s v="May"/>
    <d v="2023-05-20T00:00:00"/>
    <s v="CUST694"/>
    <x v="1"/>
    <x v="0"/>
    <n v="39"/>
    <x v="2"/>
    <n v="2"/>
    <n v="25"/>
    <n v="50"/>
    <n v="0.75"/>
    <n v="1"/>
  </r>
  <r>
    <n v="695"/>
    <n v="12"/>
    <n v="8"/>
    <n v="2023"/>
    <s v="Saturday"/>
    <s v="Aug"/>
    <d v="2023-08-12T00:00:00"/>
    <s v="CUST695"/>
    <x v="1"/>
    <x v="1"/>
    <n v="22"/>
    <x v="2"/>
    <n v="3"/>
    <n v="50"/>
    <n v="150"/>
    <n v="2.25"/>
    <n v="3"/>
  </r>
  <r>
    <n v="696"/>
    <n v="6"/>
    <n v="9"/>
    <n v="2023"/>
    <s v="Wednesday"/>
    <s v="Sep"/>
    <d v="2023-09-06T00:00:00"/>
    <s v="CUST696"/>
    <x v="1"/>
    <x v="0"/>
    <n v="50"/>
    <x v="1"/>
    <n v="4"/>
    <n v="50"/>
    <n v="200"/>
    <n v="3"/>
    <n v="4"/>
  </r>
  <r>
    <n v="697"/>
    <n v="15"/>
    <n v="1"/>
    <n v="2023"/>
    <s v="Sunday"/>
    <s v="Jan"/>
    <d v="2023-01-15T00:00:00"/>
    <s v="CUST697"/>
    <x v="0"/>
    <x v="2"/>
    <n v="53"/>
    <x v="1"/>
    <n v="1"/>
    <n v="500"/>
    <n v="500"/>
    <n v="7.5"/>
    <n v="10"/>
  </r>
  <r>
    <n v="698"/>
    <n v="19"/>
    <n v="7"/>
    <n v="2023"/>
    <s v="Wednesday"/>
    <s v="Jul"/>
    <d v="2023-07-19T00:00:00"/>
    <s v="CUST698"/>
    <x v="1"/>
    <x v="2"/>
    <n v="64"/>
    <x v="2"/>
    <n v="1"/>
    <n v="300"/>
    <n v="300"/>
    <n v="4.5"/>
    <n v="6"/>
  </r>
  <r>
    <n v="699"/>
    <n v="22"/>
    <n v="6"/>
    <n v="2023"/>
    <s v="Thursday"/>
    <s v="Jun"/>
    <d v="2023-06-22T00:00:00"/>
    <s v="CUST699"/>
    <x v="1"/>
    <x v="0"/>
    <n v="37"/>
    <x v="1"/>
    <n v="4"/>
    <n v="30"/>
    <n v="120"/>
    <n v="1.7999999999999998"/>
    <n v="2.4"/>
  </r>
  <r>
    <n v="700"/>
    <n v="9"/>
    <n v="12"/>
    <n v="2023"/>
    <s v="Saturday"/>
    <s v="Dec"/>
    <d v="2023-12-09T00:00:00"/>
    <s v="CUST700"/>
    <x v="0"/>
    <x v="0"/>
    <n v="36"/>
    <x v="2"/>
    <n v="4"/>
    <n v="500"/>
    <n v="2000"/>
    <n v="30"/>
    <n v="40"/>
  </r>
  <r>
    <n v="701"/>
    <n v="14"/>
    <n v="12"/>
    <n v="2023"/>
    <s v="Thursday"/>
    <s v="Dec"/>
    <d v="2023-12-14T00:00:00"/>
    <s v="CUST701"/>
    <x v="1"/>
    <x v="2"/>
    <n v="52"/>
    <x v="0"/>
    <n v="2"/>
    <n v="30"/>
    <n v="60"/>
    <n v="0.89999999999999991"/>
    <n v="1.2"/>
  </r>
  <r>
    <n v="702"/>
    <n v="27"/>
    <n v="7"/>
    <n v="2023"/>
    <s v="Thursday"/>
    <s v="Jul"/>
    <d v="2023-07-27T00:00:00"/>
    <s v="CUST702"/>
    <x v="1"/>
    <x v="2"/>
    <n v="60"/>
    <x v="1"/>
    <n v="2"/>
    <n v="300"/>
    <n v="600"/>
    <n v="9"/>
    <n v="12"/>
  </r>
  <r>
    <n v="703"/>
    <n v="26"/>
    <n v="3"/>
    <n v="2023"/>
    <s v="Sunday"/>
    <s v="Mar"/>
    <d v="2023-03-26T00:00:00"/>
    <s v="CUST703"/>
    <x v="0"/>
    <x v="0"/>
    <n v="34"/>
    <x v="2"/>
    <n v="2"/>
    <n v="50"/>
    <n v="100"/>
    <n v="1.5"/>
    <n v="2"/>
  </r>
  <r>
    <n v="704"/>
    <n v="28"/>
    <n v="8"/>
    <n v="2023"/>
    <s v="Monday"/>
    <s v="Aug"/>
    <d v="2023-08-28T00:00:00"/>
    <s v="CUST704"/>
    <x v="1"/>
    <x v="2"/>
    <n v="62"/>
    <x v="1"/>
    <n v="3"/>
    <n v="30"/>
    <n v="90"/>
    <n v="1.3499999999999999"/>
    <n v="1.8"/>
  </r>
  <r>
    <n v="705"/>
    <n v="7"/>
    <n v="3"/>
    <n v="2023"/>
    <s v="Tuesday"/>
    <s v="Mar"/>
    <d v="2023-03-07T00:00:00"/>
    <s v="CUST705"/>
    <x v="0"/>
    <x v="2"/>
    <n v="60"/>
    <x v="2"/>
    <n v="2"/>
    <n v="25"/>
    <n v="50"/>
    <n v="0.75"/>
    <n v="1"/>
  </r>
  <r>
    <n v="706"/>
    <n v="15"/>
    <n v="11"/>
    <n v="2023"/>
    <s v="Wednesday"/>
    <s v="Nov"/>
    <d v="2023-11-15T00:00:00"/>
    <s v="CUST706"/>
    <x v="0"/>
    <x v="2"/>
    <n v="51"/>
    <x v="2"/>
    <n v="4"/>
    <n v="25"/>
    <n v="100"/>
    <n v="1.5"/>
    <n v="2"/>
  </r>
  <r>
    <n v="707"/>
    <n v="1"/>
    <n v="10"/>
    <n v="2023"/>
    <s v="Sunday"/>
    <s v="Oct"/>
    <d v="2023-10-01T00:00:00"/>
    <s v="CUST707"/>
    <x v="1"/>
    <x v="1"/>
    <n v="26"/>
    <x v="1"/>
    <n v="1"/>
    <n v="500"/>
    <n v="500"/>
    <n v="7.5"/>
    <n v="10"/>
  </r>
  <r>
    <n v="708"/>
    <n v="14"/>
    <n v="1"/>
    <n v="2023"/>
    <s v="Saturday"/>
    <s v="Jan"/>
    <d v="2023-01-14T00:00:00"/>
    <s v="CUST708"/>
    <x v="1"/>
    <x v="0"/>
    <n v="43"/>
    <x v="0"/>
    <n v="3"/>
    <n v="300"/>
    <n v="900"/>
    <n v="13.5"/>
    <n v="18"/>
  </r>
  <r>
    <n v="709"/>
    <n v="21"/>
    <n v="7"/>
    <n v="2023"/>
    <s v="Friday"/>
    <s v="Jul"/>
    <d v="2023-07-21T00:00:00"/>
    <s v="CUST709"/>
    <x v="1"/>
    <x v="1"/>
    <n v="19"/>
    <x v="2"/>
    <n v="2"/>
    <n v="500"/>
    <n v="1000"/>
    <n v="15"/>
    <n v="20"/>
  </r>
  <r>
    <n v="710"/>
    <n v="31"/>
    <n v="10"/>
    <n v="2023"/>
    <s v="Tuesday"/>
    <s v="Oct"/>
    <d v="2023-10-31T00:00:00"/>
    <s v="CUST710"/>
    <x v="1"/>
    <x v="1"/>
    <n v="26"/>
    <x v="2"/>
    <n v="3"/>
    <n v="500"/>
    <n v="1500"/>
    <n v="22.5"/>
    <n v="30"/>
  </r>
  <r>
    <n v="711"/>
    <n v="16"/>
    <n v="10"/>
    <n v="2023"/>
    <s v="Monday"/>
    <s v="Oct"/>
    <d v="2023-10-16T00:00:00"/>
    <s v="CUST711"/>
    <x v="0"/>
    <x v="1"/>
    <n v="26"/>
    <x v="2"/>
    <n v="3"/>
    <n v="500"/>
    <n v="1500"/>
    <n v="22.5"/>
    <n v="30"/>
  </r>
  <r>
    <n v="712"/>
    <n v="6"/>
    <n v="12"/>
    <n v="2023"/>
    <s v="Wednesday"/>
    <s v="Dec"/>
    <d v="2023-12-06T00:00:00"/>
    <s v="CUST712"/>
    <x v="1"/>
    <x v="2"/>
    <n v="57"/>
    <x v="0"/>
    <n v="2"/>
    <n v="25"/>
    <n v="50"/>
    <n v="0.75"/>
    <n v="1"/>
  </r>
  <r>
    <n v="713"/>
    <n v="14"/>
    <n v="1"/>
    <n v="2023"/>
    <s v="Saturday"/>
    <s v="Jan"/>
    <d v="2023-01-14T00:00:00"/>
    <s v="CUST713"/>
    <x v="0"/>
    <x v="0"/>
    <n v="34"/>
    <x v="0"/>
    <n v="3"/>
    <n v="25"/>
    <n v="75"/>
    <n v="1.125"/>
    <n v="1.5"/>
  </r>
  <r>
    <n v="714"/>
    <n v="12"/>
    <n v="2"/>
    <n v="2023"/>
    <s v="Sunday"/>
    <s v="Feb"/>
    <d v="2023-02-12T00:00:00"/>
    <s v="CUST714"/>
    <x v="1"/>
    <x v="1"/>
    <n v="18"/>
    <x v="1"/>
    <n v="1"/>
    <n v="500"/>
    <n v="500"/>
    <n v="7.5"/>
    <n v="10"/>
  </r>
  <r>
    <n v="715"/>
    <n v="26"/>
    <n v="11"/>
    <n v="2023"/>
    <s v="Sunday"/>
    <s v="Nov"/>
    <d v="2023-11-26T00:00:00"/>
    <s v="CUST715"/>
    <x v="1"/>
    <x v="0"/>
    <n v="42"/>
    <x v="0"/>
    <n v="4"/>
    <n v="25"/>
    <n v="100"/>
    <n v="1.5"/>
    <n v="2"/>
  </r>
  <r>
    <n v="716"/>
    <n v="8"/>
    <n v="8"/>
    <n v="2023"/>
    <s v="Tuesday"/>
    <s v="Aug"/>
    <d v="2023-08-08T00:00:00"/>
    <s v="CUST716"/>
    <x v="1"/>
    <x v="2"/>
    <n v="60"/>
    <x v="1"/>
    <n v="4"/>
    <n v="300"/>
    <n v="1200"/>
    <n v="18"/>
    <n v="24"/>
  </r>
  <r>
    <n v="717"/>
    <n v="11"/>
    <n v="3"/>
    <n v="2023"/>
    <s v="Saturday"/>
    <s v="Mar"/>
    <d v="2023-03-11T00:00:00"/>
    <s v="CUST717"/>
    <x v="0"/>
    <x v="2"/>
    <n v="57"/>
    <x v="1"/>
    <n v="1"/>
    <n v="500"/>
    <n v="500"/>
    <n v="7.5"/>
    <n v="10"/>
  </r>
  <r>
    <n v="718"/>
    <n v="25"/>
    <n v="8"/>
    <n v="2023"/>
    <s v="Friday"/>
    <s v="Aug"/>
    <d v="2023-08-25T00:00:00"/>
    <s v="CUST718"/>
    <x v="1"/>
    <x v="2"/>
    <n v="59"/>
    <x v="0"/>
    <n v="3"/>
    <n v="25"/>
    <n v="75"/>
    <n v="1.125"/>
    <n v="1.5"/>
  </r>
  <r>
    <n v="719"/>
    <n v="4"/>
    <n v="4"/>
    <n v="2023"/>
    <s v="Tuesday"/>
    <s v="Apr"/>
    <d v="2023-04-04T00:00:00"/>
    <s v="CUST719"/>
    <x v="1"/>
    <x v="0"/>
    <n v="42"/>
    <x v="1"/>
    <n v="2"/>
    <n v="30"/>
    <n v="60"/>
    <n v="0.89999999999999991"/>
    <n v="1.2"/>
  </r>
  <r>
    <n v="720"/>
    <n v="26"/>
    <n v="1"/>
    <n v="2023"/>
    <s v="Thursday"/>
    <s v="Jan"/>
    <d v="2023-01-26T00:00:00"/>
    <s v="CUST720"/>
    <x v="1"/>
    <x v="2"/>
    <n v="56"/>
    <x v="0"/>
    <n v="3"/>
    <n v="500"/>
    <n v="1500"/>
    <n v="22.5"/>
    <n v="30"/>
  </r>
  <r>
    <n v="721"/>
    <n v="14"/>
    <n v="5"/>
    <n v="2023"/>
    <s v="Sunday"/>
    <s v="May"/>
    <d v="2023-05-14T00:00:00"/>
    <s v="CUST721"/>
    <x v="1"/>
    <x v="2"/>
    <n v="52"/>
    <x v="1"/>
    <n v="1"/>
    <n v="500"/>
    <n v="500"/>
    <n v="7.5"/>
    <n v="10"/>
  </r>
  <r>
    <n v="722"/>
    <n v="14"/>
    <n v="7"/>
    <n v="2023"/>
    <s v="Friday"/>
    <s v="Jul"/>
    <d v="2023-07-14T00:00:00"/>
    <s v="CUST722"/>
    <x v="0"/>
    <x v="1"/>
    <n v="20"/>
    <x v="0"/>
    <n v="3"/>
    <n v="300"/>
    <n v="900"/>
    <n v="13.5"/>
    <n v="18"/>
  </r>
  <r>
    <n v="723"/>
    <n v="17"/>
    <n v="6"/>
    <n v="2023"/>
    <s v="Saturday"/>
    <s v="Jun"/>
    <d v="2023-06-17T00:00:00"/>
    <s v="CUST723"/>
    <x v="1"/>
    <x v="2"/>
    <n v="54"/>
    <x v="0"/>
    <n v="4"/>
    <n v="50"/>
    <n v="200"/>
    <n v="3"/>
    <n v="4"/>
  </r>
  <r>
    <n v="724"/>
    <n v="19"/>
    <n v="4"/>
    <n v="2023"/>
    <s v="Wednesday"/>
    <s v="Apr"/>
    <d v="2023-04-19T00:00:00"/>
    <s v="CUST724"/>
    <x v="0"/>
    <x v="2"/>
    <n v="61"/>
    <x v="1"/>
    <n v="3"/>
    <n v="50"/>
    <n v="150"/>
    <n v="2.25"/>
    <n v="3"/>
  </r>
  <r>
    <n v="725"/>
    <n v="21"/>
    <n v="8"/>
    <n v="2023"/>
    <s v="Monday"/>
    <s v="Aug"/>
    <d v="2023-08-21T00:00:00"/>
    <s v="CUST725"/>
    <x v="0"/>
    <x v="2"/>
    <n v="61"/>
    <x v="2"/>
    <n v="1"/>
    <n v="300"/>
    <n v="300"/>
    <n v="4.5"/>
    <n v="6"/>
  </r>
  <r>
    <n v="726"/>
    <n v="17"/>
    <n v="6"/>
    <n v="2023"/>
    <s v="Saturday"/>
    <s v="Jun"/>
    <d v="2023-06-17T00:00:00"/>
    <s v="CUST726"/>
    <x v="0"/>
    <x v="0"/>
    <n v="47"/>
    <x v="1"/>
    <n v="4"/>
    <n v="300"/>
    <n v="1200"/>
    <n v="18"/>
    <n v="24"/>
  </r>
  <r>
    <n v="727"/>
    <n v="22"/>
    <n v="6"/>
    <n v="2023"/>
    <s v="Thursday"/>
    <s v="Jun"/>
    <d v="2023-06-22T00:00:00"/>
    <s v="CUST727"/>
    <x v="0"/>
    <x v="2"/>
    <n v="55"/>
    <x v="0"/>
    <n v="3"/>
    <n v="300"/>
    <n v="900"/>
    <n v="13.5"/>
    <n v="18"/>
  </r>
  <r>
    <n v="728"/>
    <n v="14"/>
    <n v="7"/>
    <n v="2023"/>
    <s v="Friday"/>
    <s v="Jul"/>
    <d v="2023-07-14T00:00:00"/>
    <s v="CUST728"/>
    <x v="0"/>
    <x v="2"/>
    <n v="51"/>
    <x v="2"/>
    <n v="3"/>
    <n v="50"/>
    <n v="150"/>
    <n v="2.25"/>
    <n v="3"/>
  </r>
  <r>
    <n v="729"/>
    <n v="23"/>
    <n v="5"/>
    <n v="2023"/>
    <s v="Tuesday"/>
    <s v="May"/>
    <d v="2023-05-23T00:00:00"/>
    <s v="CUST729"/>
    <x v="0"/>
    <x v="1"/>
    <n v="29"/>
    <x v="1"/>
    <n v="4"/>
    <n v="300"/>
    <n v="1200"/>
    <n v="18"/>
    <n v="24"/>
  </r>
  <r>
    <n v="730"/>
    <n v="4"/>
    <n v="8"/>
    <n v="2023"/>
    <s v="Friday"/>
    <s v="Aug"/>
    <d v="2023-08-04T00:00:00"/>
    <s v="CUST730"/>
    <x v="1"/>
    <x v="0"/>
    <n v="36"/>
    <x v="1"/>
    <n v="2"/>
    <n v="25"/>
    <n v="50"/>
    <n v="0.75"/>
    <n v="1"/>
  </r>
  <r>
    <n v="731"/>
    <n v="10"/>
    <n v="5"/>
    <n v="2023"/>
    <s v="Wednesday"/>
    <s v="May"/>
    <d v="2023-05-10T00:00:00"/>
    <s v="CUST731"/>
    <x v="0"/>
    <x v="2"/>
    <n v="54"/>
    <x v="1"/>
    <n v="4"/>
    <n v="500"/>
    <n v="2000"/>
    <n v="30"/>
    <n v="40"/>
  </r>
  <r>
    <n v="732"/>
    <n v="11"/>
    <n v="2"/>
    <n v="2023"/>
    <s v="Saturday"/>
    <s v="Feb"/>
    <d v="2023-02-11T00:00:00"/>
    <s v="CUST732"/>
    <x v="0"/>
    <x v="2"/>
    <n v="61"/>
    <x v="2"/>
    <n v="2"/>
    <n v="500"/>
    <n v="1000"/>
    <n v="15"/>
    <n v="20"/>
  </r>
  <r>
    <n v="733"/>
    <n v="29"/>
    <n v="8"/>
    <n v="2023"/>
    <s v="Tuesday"/>
    <s v="Aug"/>
    <d v="2023-08-29T00:00:00"/>
    <s v="CUST733"/>
    <x v="0"/>
    <x v="0"/>
    <n v="34"/>
    <x v="0"/>
    <n v="1"/>
    <n v="30"/>
    <n v="30"/>
    <n v="0.44999999999999996"/>
    <n v="0.6"/>
  </r>
  <r>
    <n v="734"/>
    <n v="10"/>
    <n v="1"/>
    <n v="2023"/>
    <s v="Tuesday"/>
    <s v="Jan"/>
    <d v="2023-01-10T00:00:00"/>
    <s v="CUST734"/>
    <x v="1"/>
    <x v="1"/>
    <n v="27"/>
    <x v="1"/>
    <n v="1"/>
    <n v="30"/>
    <n v="30"/>
    <n v="0.44999999999999996"/>
    <n v="0.6"/>
  </r>
  <r>
    <n v="735"/>
    <n v="4"/>
    <n v="10"/>
    <n v="2023"/>
    <s v="Wednesday"/>
    <s v="Oct"/>
    <d v="2023-10-04T00:00:00"/>
    <s v="CUST735"/>
    <x v="1"/>
    <x v="2"/>
    <n v="64"/>
    <x v="1"/>
    <n v="4"/>
    <n v="500"/>
    <n v="2000"/>
    <n v="30"/>
    <n v="40"/>
  </r>
  <r>
    <n v="736"/>
    <n v="27"/>
    <n v="1"/>
    <n v="2023"/>
    <s v="Friday"/>
    <s v="Jan"/>
    <d v="2023-01-27T00:00:00"/>
    <s v="CUST736"/>
    <x v="0"/>
    <x v="1"/>
    <n v="29"/>
    <x v="1"/>
    <n v="4"/>
    <n v="25"/>
    <n v="100"/>
    <n v="1.5"/>
    <n v="2"/>
  </r>
  <r>
    <n v="737"/>
    <n v="29"/>
    <n v="6"/>
    <n v="2023"/>
    <s v="Thursday"/>
    <s v="Jun"/>
    <d v="2023-06-29T00:00:00"/>
    <s v="CUST737"/>
    <x v="1"/>
    <x v="0"/>
    <n v="33"/>
    <x v="1"/>
    <n v="1"/>
    <n v="50"/>
    <n v="50"/>
    <n v="0.75"/>
    <n v="1"/>
  </r>
  <r>
    <n v="738"/>
    <n v="25"/>
    <n v="4"/>
    <n v="2023"/>
    <s v="Tuesday"/>
    <s v="Apr"/>
    <d v="2023-04-25T00:00:00"/>
    <s v="CUST738"/>
    <x v="0"/>
    <x v="0"/>
    <n v="41"/>
    <x v="1"/>
    <n v="2"/>
    <n v="50"/>
    <n v="100"/>
    <n v="1.5"/>
    <n v="2"/>
  </r>
  <r>
    <n v="739"/>
    <n v="29"/>
    <n v="11"/>
    <n v="2023"/>
    <s v="Wednesday"/>
    <s v="Nov"/>
    <d v="2023-11-29T00:00:00"/>
    <s v="CUST739"/>
    <x v="0"/>
    <x v="0"/>
    <n v="36"/>
    <x v="0"/>
    <n v="1"/>
    <n v="25"/>
    <n v="25"/>
    <n v="0.375"/>
    <n v="0.5"/>
  </r>
  <r>
    <n v="740"/>
    <n v="5"/>
    <n v="2"/>
    <n v="2023"/>
    <s v="Sunday"/>
    <s v="Feb"/>
    <d v="2023-02-05T00:00:00"/>
    <s v="CUST740"/>
    <x v="1"/>
    <x v="1"/>
    <n v="25"/>
    <x v="0"/>
    <n v="4"/>
    <n v="50"/>
    <n v="200"/>
    <n v="3"/>
    <n v="4"/>
  </r>
  <r>
    <n v="741"/>
    <n v="30"/>
    <n v="11"/>
    <n v="2023"/>
    <s v="Thursday"/>
    <s v="Nov"/>
    <d v="2023-11-30T00:00:00"/>
    <s v="CUST741"/>
    <x v="0"/>
    <x v="0"/>
    <n v="48"/>
    <x v="1"/>
    <n v="1"/>
    <n v="300"/>
    <n v="300"/>
    <n v="4.5"/>
    <n v="6"/>
  </r>
  <r>
    <n v="742"/>
    <n v="21"/>
    <n v="1"/>
    <n v="2023"/>
    <s v="Saturday"/>
    <s v="Jan"/>
    <d v="2023-01-21T00:00:00"/>
    <s v="CUST742"/>
    <x v="1"/>
    <x v="0"/>
    <n v="38"/>
    <x v="2"/>
    <n v="4"/>
    <n v="500"/>
    <n v="2000"/>
    <n v="30"/>
    <n v="40"/>
  </r>
  <r>
    <n v="743"/>
    <n v="16"/>
    <n v="1"/>
    <n v="2023"/>
    <s v="Monday"/>
    <s v="Jan"/>
    <d v="2023-01-16T00:00:00"/>
    <s v="CUST743"/>
    <x v="1"/>
    <x v="0"/>
    <n v="34"/>
    <x v="0"/>
    <n v="4"/>
    <n v="500"/>
    <n v="2000"/>
    <n v="30"/>
    <n v="40"/>
  </r>
  <r>
    <n v="744"/>
    <n v="7"/>
    <n v="5"/>
    <n v="2023"/>
    <s v="Sunday"/>
    <s v="May"/>
    <d v="2023-05-07T00:00:00"/>
    <s v="CUST744"/>
    <x v="0"/>
    <x v="0"/>
    <n v="40"/>
    <x v="2"/>
    <n v="1"/>
    <n v="25"/>
    <n v="25"/>
    <n v="0.375"/>
    <n v="0.5"/>
  </r>
  <r>
    <n v="745"/>
    <n v="13"/>
    <n v="4"/>
    <n v="2023"/>
    <s v="Thursday"/>
    <s v="Apr"/>
    <d v="2023-04-13T00:00:00"/>
    <s v="CUST745"/>
    <x v="0"/>
    <x v="2"/>
    <n v="54"/>
    <x v="0"/>
    <n v="2"/>
    <n v="50"/>
    <n v="100"/>
    <n v="1.5"/>
    <n v="2"/>
  </r>
  <r>
    <n v="746"/>
    <n v="11"/>
    <n v="1"/>
    <n v="2023"/>
    <s v="Wednesday"/>
    <s v="Jan"/>
    <d v="2023-01-11T00:00:00"/>
    <s v="CUST746"/>
    <x v="1"/>
    <x v="0"/>
    <n v="33"/>
    <x v="1"/>
    <n v="3"/>
    <n v="30"/>
    <n v="90"/>
    <n v="1.3499999999999999"/>
    <n v="1.8"/>
  </r>
  <r>
    <n v="747"/>
    <n v="15"/>
    <n v="11"/>
    <n v="2023"/>
    <s v="Wednesday"/>
    <s v="Nov"/>
    <d v="2023-11-15T00:00:00"/>
    <s v="CUST747"/>
    <x v="0"/>
    <x v="1"/>
    <n v="23"/>
    <x v="0"/>
    <n v="1"/>
    <n v="30"/>
    <n v="30"/>
    <n v="0.44999999999999996"/>
    <n v="0.6"/>
  </r>
  <r>
    <n v="748"/>
    <n v="20"/>
    <n v="3"/>
    <n v="2023"/>
    <s v="Monday"/>
    <s v="Mar"/>
    <d v="2023-03-20T00:00:00"/>
    <s v="CUST748"/>
    <x v="0"/>
    <x v="1"/>
    <n v="25"/>
    <x v="1"/>
    <n v="3"/>
    <n v="50"/>
    <n v="150"/>
    <n v="2.25"/>
    <n v="3"/>
  </r>
  <r>
    <n v="749"/>
    <n v="3"/>
    <n v="5"/>
    <n v="2023"/>
    <s v="Wednesday"/>
    <s v="May"/>
    <d v="2023-05-03T00:00:00"/>
    <s v="CUST749"/>
    <x v="0"/>
    <x v="0"/>
    <n v="42"/>
    <x v="0"/>
    <n v="1"/>
    <n v="30"/>
    <n v="30"/>
    <n v="0.44999999999999996"/>
    <n v="0.6"/>
  </r>
  <r>
    <n v="750"/>
    <n v="6"/>
    <n v="3"/>
    <n v="2023"/>
    <s v="Monday"/>
    <s v="Mar"/>
    <d v="2023-03-06T00:00:00"/>
    <s v="CUST750"/>
    <x v="1"/>
    <x v="0"/>
    <n v="35"/>
    <x v="1"/>
    <n v="3"/>
    <n v="25"/>
    <n v="75"/>
    <n v="1.125"/>
    <n v="1.5"/>
  </r>
  <r>
    <n v="751"/>
    <n v="31"/>
    <n v="8"/>
    <n v="2023"/>
    <s v="Thursday"/>
    <s v="Aug"/>
    <d v="2023-08-31T00:00:00"/>
    <s v="CUST751"/>
    <x v="1"/>
    <x v="0"/>
    <n v="42"/>
    <x v="1"/>
    <n v="2"/>
    <n v="25"/>
    <n v="50"/>
    <n v="0.75"/>
    <n v="1"/>
  </r>
  <r>
    <n v="752"/>
    <n v="9"/>
    <n v="12"/>
    <n v="2023"/>
    <s v="Saturday"/>
    <s v="Dec"/>
    <d v="2023-12-09T00:00:00"/>
    <s v="CUST752"/>
    <x v="0"/>
    <x v="1"/>
    <n v="29"/>
    <x v="1"/>
    <n v="2"/>
    <n v="50"/>
    <n v="100"/>
    <n v="1.5"/>
    <n v="2"/>
  </r>
  <r>
    <n v="753"/>
    <n v="28"/>
    <n v="2"/>
    <n v="2023"/>
    <s v="Tuesday"/>
    <s v="Feb"/>
    <d v="2023-02-28T00:00:00"/>
    <s v="CUST753"/>
    <x v="1"/>
    <x v="0"/>
    <n v="32"/>
    <x v="1"/>
    <n v="1"/>
    <n v="30"/>
    <n v="30"/>
    <n v="0.44999999999999996"/>
    <n v="0.6"/>
  </r>
  <r>
    <n v="754"/>
    <n v="16"/>
    <n v="10"/>
    <n v="2023"/>
    <s v="Monday"/>
    <s v="Oct"/>
    <d v="2023-10-16T00:00:00"/>
    <s v="CUST754"/>
    <x v="1"/>
    <x v="0"/>
    <n v="43"/>
    <x v="2"/>
    <n v="4"/>
    <n v="25"/>
    <n v="100"/>
    <n v="1.5"/>
    <n v="2"/>
  </r>
  <r>
    <n v="755"/>
    <n v="22"/>
    <n v="4"/>
    <n v="2023"/>
    <s v="Saturday"/>
    <s v="Apr"/>
    <d v="2023-04-22T00:00:00"/>
    <s v="CUST755"/>
    <x v="1"/>
    <x v="2"/>
    <n v="58"/>
    <x v="1"/>
    <n v="3"/>
    <n v="25"/>
    <n v="75"/>
    <n v="1.125"/>
    <n v="1.5"/>
  </r>
  <r>
    <n v="756"/>
    <n v="27"/>
    <n v="8"/>
    <n v="2023"/>
    <s v="Sunday"/>
    <s v="Aug"/>
    <d v="2023-08-27T00:00:00"/>
    <s v="CUST756"/>
    <x v="1"/>
    <x v="2"/>
    <n v="62"/>
    <x v="2"/>
    <n v="4"/>
    <n v="300"/>
    <n v="1200"/>
    <n v="18"/>
    <n v="24"/>
  </r>
  <r>
    <n v="757"/>
    <n v="25"/>
    <n v="12"/>
    <n v="2023"/>
    <s v="Monday"/>
    <s v="Dec"/>
    <d v="2023-12-25T00:00:00"/>
    <s v="CUST757"/>
    <x v="1"/>
    <x v="0"/>
    <n v="43"/>
    <x v="2"/>
    <n v="4"/>
    <n v="300"/>
    <n v="1200"/>
    <n v="18"/>
    <n v="24"/>
  </r>
  <r>
    <n v="758"/>
    <n v="12"/>
    <n v="5"/>
    <n v="2023"/>
    <s v="Friday"/>
    <s v="May"/>
    <d v="2023-05-12T00:00:00"/>
    <s v="CUST758"/>
    <x v="0"/>
    <x v="2"/>
    <n v="64"/>
    <x v="1"/>
    <n v="4"/>
    <n v="25"/>
    <n v="100"/>
    <n v="1.5"/>
    <n v="2"/>
  </r>
  <r>
    <n v="759"/>
    <n v="8"/>
    <n v="7"/>
    <n v="2023"/>
    <s v="Saturday"/>
    <s v="Jul"/>
    <d v="2023-07-08T00:00:00"/>
    <s v="CUST759"/>
    <x v="0"/>
    <x v="0"/>
    <n v="49"/>
    <x v="2"/>
    <n v="2"/>
    <n v="50"/>
    <n v="100"/>
    <n v="1.5"/>
    <n v="2"/>
  </r>
  <r>
    <n v="760"/>
    <n v="27"/>
    <n v="3"/>
    <n v="2023"/>
    <s v="Monday"/>
    <s v="Mar"/>
    <d v="2023-03-27T00:00:00"/>
    <s v="CUST760"/>
    <x v="0"/>
    <x v="1"/>
    <n v="27"/>
    <x v="0"/>
    <n v="1"/>
    <n v="500"/>
    <n v="500"/>
    <n v="7.5"/>
    <n v="10"/>
  </r>
  <r>
    <n v="761"/>
    <n v="7"/>
    <n v="11"/>
    <n v="2023"/>
    <s v="Tuesday"/>
    <s v="Nov"/>
    <d v="2023-11-07T00:00:00"/>
    <s v="CUST761"/>
    <x v="1"/>
    <x v="0"/>
    <n v="33"/>
    <x v="1"/>
    <n v="1"/>
    <n v="500"/>
    <n v="500"/>
    <n v="7.5"/>
    <n v="10"/>
  </r>
  <r>
    <n v="762"/>
    <n v="7"/>
    <n v="11"/>
    <n v="2023"/>
    <s v="Tuesday"/>
    <s v="Nov"/>
    <d v="2023-11-07T00:00:00"/>
    <s v="CUST762"/>
    <x v="1"/>
    <x v="1"/>
    <n v="24"/>
    <x v="2"/>
    <n v="2"/>
    <n v="25"/>
    <n v="50"/>
    <n v="0.75"/>
    <n v="1"/>
  </r>
  <r>
    <n v="763"/>
    <n v="28"/>
    <n v="2"/>
    <n v="2023"/>
    <s v="Tuesday"/>
    <s v="Feb"/>
    <d v="2023-02-28T00:00:00"/>
    <s v="CUST763"/>
    <x v="0"/>
    <x v="0"/>
    <n v="34"/>
    <x v="1"/>
    <n v="2"/>
    <n v="25"/>
    <n v="50"/>
    <n v="0.75"/>
    <n v="1"/>
  </r>
  <r>
    <n v="764"/>
    <n v="25"/>
    <n v="3"/>
    <n v="2023"/>
    <s v="Saturday"/>
    <s v="Mar"/>
    <d v="2023-03-25T00:00:00"/>
    <s v="CUST764"/>
    <x v="1"/>
    <x v="0"/>
    <n v="40"/>
    <x v="1"/>
    <n v="1"/>
    <n v="25"/>
    <n v="25"/>
    <n v="0.375"/>
    <n v="0.5"/>
  </r>
  <r>
    <n v="765"/>
    <n v="9"/>
    <n v="6"/>
    <n v="2023"/>
    <s v="Friday"/>
    <s v="Jun"/>
    <d v="2023-06-09T00:00:00"/>
    <s v="CUST765"/>
    <x v="0"/>
    <x v="0"/>
    <n v="43"/>
    <x v="1"/>
    <n v="4"/>
    <n v="50"/>
    <n v="200"/>
    <n v="3"/>
    <n v="4"/>
  </r>
  <r>
    <n v="766"/>
    <n v="25"/>
    <n v="2"/>
    <n v="2023"/>
    <s v="Saturday"/>
    <s v="Feb"/>
    <d v="2023-02-25T00:00:00"/>
    <s v="CUST766"/>
    <x v="0"/>
    <x v="0"/>
    <n v="38"/>
    <x v="2"/>
    <n v="3"/>
    <n v="300"/>
    <n v="900"/>
    <n v="13.5"/>
    <n v="18"/>
  </r>
  <r>
    <n v="767"/>
    <n v="24"/>
    <n v="10"/>
    <n v="2023"/>
    <s v="Tuesday"/>
    <s v="Oct"/>
    <d v="2023-10-24T00:00:00"/>
    <s v="CUST767"/>
    <x v="0"/>
    <x v="0"/>
    <n v="39"/>
    <x v="0"/>
    <n v="3"/>
    <n v="25"/>
    <n v="75"/>
    <n v="1.125"/>
    <n v="1.5"/>
  </r>
  <r>
    <n v="768"/>
    <n v="14"/>
    <n v="1"/>
    <n v="2023"/>
    <s v="Saturday"/>
    <s v="Jan"/>
    <d v="2023-01-14T00:00:00"/>
    <s v="CUST768"/>
    <x v="1"/>
    <x v="1"/>
    <n v="24"/>
    <x v="0"/>
    <n v="3"/>
    <n v="25"/>
    <n v="75"/>
    <n v="1.125"/>
    <n v="1.5"/>
  </r>
  <r>
    <n v="769"/>
    <n v="9"/>
    <n v="6"/>
    <n v="2023"/>
    <s v="Friday"/>
    <s v="Jun"/>
    <d v="2023-06-09T00:00:00"/>
    <s v="CUST769"/>
    <x v="1"/>
    <x v="0"/>
    <n v="31"/>
    <x v="2"/>
    <n v="4"/>
    <n v="30"/>
    <n v="120"/>
    <n v="1.7999999999999998"/>
    <n v="2.4"/>
  </r>
  <r>
    <n v="770"/>
    <n v="22"/>
    <n v="10"/>
    <n v="2023"/>
    <s v="Sunday"/>
    <s v="Oct"/>
    <d v="2023-10-22T00:00:00"/>
    <s v="CUST770"/>
    <x v="0"/>
    <x v="0"/>
    <n v="32"/>
    <x v="1"/>
    <n v="1"/>
    <n v="50"/>
    <n v="50"/>
    <n v="0.75"/>
    <n v="1"/>
  </r>
  <r>
    <n v="771"/>
    <n v="13"/>
    <n v="12"/>
    <n v="2023"/>
    <s v="Wednesday"/>
    <s v="Dec"/>
    <d v="2023-12-13T00:00:00"/>
    <s v="CUST771"/>
    <x v="0"/>
    <x v="1"/>
    <n v="24"/>
    <x v="2"/>
    <n v="2"/>
    <n v="25"/>
    <n v="50"/>
    <n v="0.75"/>
    <n v="1"/>
  </r>
  <r>
    <n v="772"/>
    <n v="12"/>
    <n v="7"/>
    <n v="2023"/>
    <s v="Wednesday"/>
    <s v="Jul"/>
    <d v="2023-07-12T00:00:00"/>
    <s v="CUST772"/>
    <x v="0"/>
    <x v="1"/>
    <n v="26"/>
    <x v="2"/>
    <n v="1"/>
    <n v="30"/>
    <n v="30"/>
    <n v="0.44999999999999996"/>
    <n v="0.6"/>
  </r>
  <r>
    <n v="773"/>
    <n v="23"/>
    <n v="7"/>
    <n v="2023"/>
    <s v="Sunday"/>
    <s v="Jul"/>
    <d v="2023-07-23T00:00:00"/>
    <s v="CUST773"/>
    <x v="0"/>
    <x v="1"/>
    <n v="25"/>
    <x v="2"/>
    <n v="4"/>
    <n v="500"/>
    <n v="2000"/>
    <n v="30"/>
    <n v="40"/>
  </r>
  <r>
    <n v="774"/>
    <n v="12"/>
    <n v="4"/>
    <n v="2023"/>
    <s v="Wednesday"/>
    <s v="Apr"/>
    <d v="2023-04-12T00:00:00"/>
    <s v="CUST774"/>
    <x v="1"/>
    <x v="0"/>
    <n v="40"/>
    <x v="1"/>
    <n v="2"/>
    <n v="25"/>
    <n v="50"/>
    <n v="0.75"/>
    <n v="1"/>
  </r>
  <r>
    <n v="775"/>
    <n v="8"/>
    <n v="2"/>
    <n v="2023"/>
    <s v="Wednesday"/>
    <s v="Feb"/>
    <d v="2023-02-08T00:00:00"/>
    <s v="CUST775"/>
    <x v="1"/>
    <x v="0"/>
    <n v="46"/>
    <x v="2"/>
    <n v="4"/>
    <n v="25"/>
    <n v="100"/>
    <n v="1.5"/>
    <n v="2"/>
  </r>
  <r>
    <n v="776"/>
    <n v="31"/>
    <n v="10"/>
    <n v="2023"/>
    <s v="Tuesday"/>
    <s v="Oct"/>
    <d v="2023-10-31T00:00:00"/>
    <s v="CUST776"/>
    <x v="0"/>
    <x v="0"/>
    <n v="35"/>
    <x v="1"/>
    <n v="3"/>
    <n v="30"/>
    <n v="90"/>
    <n v="1.3499999999999999"/>
    <n v="1.8"/>
  </r>
  <r>
    <n v="777"/>
    <n v="20"/>
    <n v="12"/>
    <n v="2023"/>
    <s v="Wednesday"/>
    <s v="Dec"/>
    <d v="2023-12-20T00:00:00"/>
    <s v="CUST777"/>
    <x v="0"/>
    <x v="0"/>
    <n v="48"/>
    <x v="2"/>
    <n v="3"/>
    <n v="50"/>
    <n v="150"/>
    <n v="2.25"/>
    <n v="3"/>
  </r>
  <r>
    <n v="778"/>
    <n v="18"/>
    <n v="11"/>
    <n v="2023"/>
    <s v="Saturday"/>
    <s v="Nov"/>
    <d v="2023-11-18T00:00:00"/>
    <s v="CUST778"/>
    <x v="1"/>
    <x v="0"/>
    <n v="47"/>
    <x v="0"/>
    <n v="4"/>
    <n v="25"/>
    <n v="100"/>
    <n v="1.5"/>
    <n v="2"/>
  </r>
  <r>
    <n v="779"/>
    <n v="5"/>
    <n v="5"/>
    <n v="2023"/>
    <s v="Friday"/>
    <s v="May"/>
    <d v="2023-05-05T00:00:00"/>
    <s v="CUST779"/>
    <x v="1"/>
    <x v="2"/>
    <n v="56"/>
    <x v="2"/>
    <n v="2"/>
    <n v="500"/>
    <n v="1000"/>
    <n v="15"/>
    <n v="20"/>
  </r>
  <r>
    <n v="780"/>
    <n v="22"/>
    <n v="2"/>
    <n v="2023"/>
    <s v="Wednesday"/>
    <s v="Feb"/>
    <d v="2023-02-22T00:00:00"/>
    <s v="CUST780"/>
    <x v="0"/>
    <x v="2"/>
    <n v="52"/>
    <x v="2"/>
    <n v="2"/>
    <n v="25"/>
    <n v="50"/>
    <n v="0.75"/>
    <n v="1"/>
  </r>
  <r>
    <n v="781"/>
    <n v="23"/>
    <n v="12"/>
    <n v="2023"/>
    <s v="Saturday"/>
    <s v="Dec"/>
    <d v="2023-12-23T00:00:00"/>
    <s v="CUST781"/>
    <x v="0"/>
    <x v="0"/>
    <n v="35"/>
    <x v="0"/>
    <n v="1"/>
    <n v="500"/>
    <n v="500"/>
    <n v="7.5"/>
    <n v="10"/>
  </r>
  <r>
    <n v="782"/>
    <n v="4"/>
    <n v="6"/>
    <n v="2023"/>
    <s v="Sunday"/>
    <s v="Jun"/>
    <d v="2023-06-04T00:00:00"/>
    <s v="CUST782"/>
    <x v="0"/>
    <x v="2"/>
    <n v="59"/>
    <x v="1"/>
    <n v="3"/>
    <n v="300"/>
    <n v="900"/>
    <n v="13.5"/>
    <n v="18"/>
  </r>
  <r>
    <n v="783"/>
    <n v="17"/>
    <n v="12"/>
    <n v="2023"/>
    <s v="Sunday"/>
    <s v="Dec"/>
    <d v="2023-12-17T00:00:00"/>
    <s v="CUST783"/>
    <x v="1"/>
    <x v="2"/>
    <n v="56"/>
    <x v="1"/>
    <n v="1"/>
    <n v="300"/>
    <n v="300"/>
    <n v="4.5"/>
    <n v="6"/>
  </r>
  <r>
    <n v="784"/>
    <n v="4"/>
    <n v="11"/>
    <n v="2023"/>
    <s v="Saturday"/>
    <s v="Nov"/>
    <d v="2023-11-04T00:00:00"/>
    <s v="CUST784"/>
    <x v="1"/>
    <x v="0"/>
    <n v="34"/>
    <x v="2"/>
    <n v="1"/>
    <n v="500"/>
    <n v="500"/>
    <n v="7.5"/>
    <n v="10"/>
  </r>
  <r>
    <n v="785"/>
    <n v="3"/>
    <n v="3"/>
    <n v="2023"/>
    <s v="Friday"/>
    <s v="Mar"/>
    <d v="2023-03-03T00:00:00"/>
    <s v="CUST785"/>
    <x v="1"/>
    <x v="0"/>
    <n v="31"/>
    <x v="0"/>
    <n v="4"/>
    <n v="50"/>
    <n v="200"/>
    <n v="3"/>
    <n v="4"/>
  </r>
  <r>
    <n v="786"/>
    <n v="17"/>
    <n v="10"/>
    <n v="2023"/>
    <s v="Tuesday"/>
    <s v="Oct"/>
    <d v="2023-10-17T00:00:00"/>
    <s v="CUST786"/>
    <x v="0"/>
    <x v="0"/>
    <n v="48"/>
    <x v="1"/>
    <n v="4"/>
    <n v="25"/>
    <n v="100"/>
    <n v="1.5"/>
    <n v="2"/>
  </r>
  <r>
    <n v="787"/>
    <n v="22"/>
    <n v="1"/>
    <n v="2023"/>
    <s v="Sunday"/>
    <s v="Jan"/>
    <d v="2023-01-22T00:00:00"/>
    <s v="CUST787"/>
    <x v="0"/>
    <x v="0"/>
    <n v="41"/>
    <x v="2"/>
    <n v="1"/>
    <n v="25"/>
    <n v="25"/>
    <n v="0.375"/>
    <n v="0.5"/>
  </r>
  <r>
    <n v="788"/>
    <n v="27"/>
    <n v="6"/>
    <n v="2023"/>
    <s v="Tuesday"/>
    <s v="Jun"/>
    <d v="2023-06-27T00:00:00"/>
    <s v="CUST788"/>
    <x v="1"/>
    <x v="2"/>
    <n v="52"/>
    <x v="0"/>
    <n v="3"/>
    <n v="300"/>
    <n v="900"/>
    <n v="13.5"/>
    <n v="18"/>
  </r>
  <r>
    <n v="789"/>
    <n v="30"/>
    <n v="9"/>
    <n v="2023"/>
    <s v="Saturday"/>
    <s v="Sep"/>
    <d v="2023-09-30T00:00:00"/>
    <s v="CUST789"/>
    <x v="1"/>
    <x v="2"/>
    <n v="61"/>
    <x v="1"/>
    <n v="4"/>
    <n v="500"/>
    <n v="2000"/>
    <n v="30"/>
    <n v="40"/>
  </r>
  <r>
    <n v="790"/>
    <n v="8"/>
    <n v="8"/>
    <n v="2023"/>
    <s v="Tuesday"/>
    <s v="Aug"/>
    <d v="2023-08-08T00:00:00"/>
    <s v="CUST790"/>
    <x v="0"/>
    <x v="2"/>
    <n v="62"/>
    <x v="1"/>
    <n v="1"/>
    <n v="25"/>
    <n v="25"/>
    <n v="0.375"/>
    <n v="0.5"/>
  </r>
  <r>
    <n v="791"/>
    <n v="5"/>
    <n v="12"/>
    <n v="2023"/>
    <s v="Tuesday"/>
    <s v="Dec"/>
    <d v="2023-12-05T00:00:00"/>
    <s v="CUST791"/>
    <x v="1"/>
    <x v="2"/>
    <n v="51"/>
    <x v="0"/>
    <n v="1"/>
    <n v="25"/>
    <n v="25"/>
    <n v="0.375"/>
    <n v="0.5"/>
  </r>
  <r>
    <n v="792"/>
    <n v="9"/>
    <n v="7"/>
    <n v="2023"/>
    <s v="Sunday"/>
    <s v="Jul"/>
    <d v="2023-07-09T00:00:00"/>
    <s v="CUST792"/>
    <x v="1"/>
    <x v="1"/>
    <n v="20"/>
    <x v="0"/>
    <n v="1"/>
    <n v="50"/>
    <n v="50"/>
    <n v="0.75"/>
    <n v="1"/>
  </r>
  <r>
    <n v="793"/>
    <n v="5"/>
    <n v="2"/>
    <n v="2023"/>
    <s v="Sunday"/>
    <s v="Feb"/>
    <d v="2023-02-05T00:00:00"/>
    <s v="CUST793"/>
    <x v="0"/>
    <x v="2"/>
    <n v="54"/>
    <x v="0"/>
    <n v="1"/>
    <n v="30"/>
    <n v="30"/>
    <n v="0.44999999999999996"/>
    <n v="0.6"/>
  </r>
  <r>
    <n v="794"/>
    <n v="17"/>
    <n v="9"/>
    <n v="2023"/>
    <s v="Sunday"/>
    <s v="Sep"/>
    <d v="2023-09-17T00:00:00"/>
    <s v="CUST794"/>
    <x v="1"/>
    <x v="2"/>
    <n v="60"/>
    <x v="0"/>
    <n v="1"/>
    <n v="300"/>
    <n v="300"/>
    <n v="4.5"/>
    <n v="6"/>
  </r>
  <r>
    <n v="795"/>
    <n v="28"/>
    <n v="11"/>
    <n v="2023"/>
    <s v="Tuesday"/>
    <s v="Nov"/>
    <d v="2023-11-28T00:00:00"/>
    <s v="CUST795"/>
    <x v="0"/>
    <x v="2"/>
    <n v="57"/>
    <x v="2"/>
    <n v="1"/>
    <n v="300"/>
    <n v="300"/>
    <n v="4.5"/>
    <n v="6"/>
  </r>
  <r>
    <n v="796"/>
    <n v="24"/>
    <n v="6"/>
    <n v="2023"/>
    <s v="Saturday"/>
    <s v="Jun"/>
    <d v="2023-06-24T00:00:00"/>
    <s v="CUST796"/>
    <x v="0"/>
    <x v="0"/>
    <n v="43"/>
    <x v="0"/>
    <n v="4"/>
    <n v="30"/>
    <n v="120"/>
    <n v="1.7999999999999998"/>
    <n v="2.4"/>
  </r>
  <r>
    <n v="797"/>
    <n v="7"/>
    <n v="1"/>
    <n v="2023"/>
    <s v="Saturday"/>
    <s v="Jan"/>
    <d v="2023-01-07T00:00:00"/>
    <s v="CUST797"/>
    <x v="0"/>
    <x v="0"/>
    <n v="40"/>
    <x v="1"/>
    <n v="3"/>
    <n v="25"/>
    <n v="75"/>
    <n v="1.125"/>
    <n v="1.5"/>
  </r>
  <r>
    <n v="798"/>
    <n v="4"/>
    <n v="8"/>
    <n v="2023"/>
    <s v="Friday"/>
    <s v="Aug"/>
    <d v="2023-08-04T00:00:00"/>
    <s v="CUST798"/>
    <x v="0"/>
    <x v="2"/>
    <n v="61"/>
    <x v="1"/>
    <n v="1"/>
    <n v="50"/>
    <n v="50"/>
    <n v="0.75"/>
    <n v="1"/>
  </r>
  <r>
    <n v="799"/>
    <n v="8"/>
    <n v="9"/>
    <n v="2023"/>
    <s v="Friday"/>
    <s v="Sep"/>
    <d v="2023-09-08T00:00:00"/>
    <s v="CUST799"/>
    <x v="0"/>
    <x v="2"/>
    <n v="56"/>
    <x v="2"/>
    <n v="2"/>
    <n v="50"/>
    <n v="100"/>
    <n v="1.5"/>
    <n v="2"/>
  </r>
  <r>
    <n v="800"/>
    <n v="24"/>
    <n v="2"/>
    <n v="2023"/>
    <s v="Friday"/>
    <s v="Feb"/>
    <d v="2023-02-24T00:00:00"/>
    <s v="CUST800"/>
    <x v="0"/>
    <x v="0"/>
    <n v="32"/>
    <x v="1"/>
    <n v="4"/>
    <n v="300"/>
    <n v="1200"/>
    <n v="18"/>
    <n v="24"/>
  </r>
  <r>
    <n v="801"/>
    <n v="10"/>
    <n v="8"/>
    <n v="2023"/>
    <s v="Thursday"/>
    <s v="Aug"/>
    <d v="2023-08-10T00:00:00"/>
    <s v="CUST801"/>
    <x v="0"/>
    <x v="1"/>
    <n v="21"/>
    <x v="1"/>
    <n v="4"/>
    <n v="50"/>
    <n v="200"/>
    <n v="3"/>
    <n v="4"/>
  </r>
  <r>
    <n v="802"/>
    <n v="5"/>
    <n v="7"/>
    <n v="2023"/>
    <s v="Wednesday"/>
    <s v="Jul"/>
    <d v="2023-07-05T00:00:00"/>
    <s v="CUST802"/>
    <x v="1"/>
    <x v="0"/>
    <n v="46"/>
    <x v="0"/>
    <n v="1"/>
    <n v="30"/>
    <n v="30"/>
    <n v="0.44999999999999996"/>
    <n v="0.6"/>
  </r>
  <r>
    <n v="803"/>
    <n v="22"/>
    <n v="11"/>
    <n v="2023"/>
    <s v="Wednesday"/>
    <s v="Nov"/>
    <d v="2023-11-22T00:00:00"/>
    <s v="CUST803"/>
    <x v="0"/>
    <x v="0"/>
    <n v="39"/>
    <x v="1"/>
    <n v="4"/>
    <n v="25"/>
    <n v="100"/>
    <n v="1.5"/>
    <n v="2"/>
  </r>
  <r>
    <n v="804"/>
    <n v="24"/>
    <n v="8"/>
    <n v="2023"/>
    <s v="Thursday"/>
    <s v="Aug"/>
    <d v="2023-08-24T00:00:00"/>
    <s v="CUST804"/>
    <x v="0"/>
    <x v="0"/>
    <n v="42"/>
    <x v="2"/>
    <n v="1"/>
    <n v="30"/>
    <n v="30"/>
    <n v="0.44999999999999996"/>
    <n v="0.6"/>
  </r>
  <r>
    <n v="805"/>
    <n v="29"/>
    <n v="12"/>
    <n v="2023"/>
    <s v="Friday"/>
    <s v="Dec"/>
    <d v="2023-12-29T00:00:00"/>
    <s v="CUST805"/>
    <x v="1"/>
    <x v="0"/>
    <n v="30"/>
    <x v="0"/>
    <n v="3"/>
    <n v="500"/>
    <n v="1500"/>
    <n v="22.5"/>
    <n v="30"/>
  </r>
  <r>
    <n v="806"/>
    <n v="20"/>
    <n v="3"/>
    <n v="2023"/>
    <s v="Monday"/>
    <s v="Mar"/>
    <d v="2023-03-20T00:00:00"/>
    <s v="CUST806"/>
    <x v="1"/>
    <x v="0"/>
    <n v="35"/>
    <x v="0"/>
    <n v="3"/>
    <n v="300"/>
    <n v="900"/>
    <n v="13.5"/>
    <n v="18"/>
  </r>
  <r>
    <n v="807"/>
    <n v="11"/>
    <n v="8"/>
    <n v="2023"/>
    <s v="Friday"/>
    <s v="Aug"/>
    <d v="2023-08-11T00:00:00"/>
    <s v="CUST807"/>
    <x v="1"/>
    <x v="0"/>
    <n v="50"/>
    <x v="2"/>
    <n v="4"/>
    <n v="50"/>
    <n v="200"/>
    <n v="3"/>
    <n v="4"/>
  </r>
  <r>
    <n v="808"/>
    <n v="1"/>
    <n v="4"/>
    <n v="2023"/>
    <s v="Saturday"/>
    <s v="Apr"/>
    <d v="2023-04-01T00:00:00"/>
    <s v="CUST808"/>
    <x v="0"/>
    <x v="0"/>
    <n v="33"/>
    <x v="0"/>
    <n v="4"/>
    <n v="500"/>
    <n v="2000"/>
    <n v="30"/>
    <n v="40"/>
  </r>
  <r>
    <n v="809"/>
    <n v="25"/>
    <n v="9"/>
    <n v="2023"/>
    <s v="Monday"/>
    <s v="Sep"/>
    <d v="2023-09-25T00:00:00"/>
    <s v="CUST809"/>
    <x v="1"/>
    <x v="2"/>
    <n v="62"/>
    <x v="0"/>
    <n v="2"/>
    <n v="50"/>
    <n v="100"/>
    <n v="1.5"/>
    <n v="2"/>
  </r>
  <r>
    <n v="810"/>
    <n v="30"/>
    <n v="11"/>
    <n v="2023"/>
    <s v="Thursday"/>
    <s v="Nov"/>
    <d v="2023-11-30T00:00:00"/>
    <s v="CUST810"/>
    <x v="0"/>
    <x v="2"/>
    <n v="59"/>
    <x v="2"/>
    <n v="4"/>
    <n v="25"/>
    <n v="100"/>
    <n v="1.5"/>
    <n v="2"/>
  </r>
  <r>
    <n v="811"/>
    <n v="19"/>
    <n v="5"/>
    <n v="2023"/>
    <s v="Friday"/>
    <s v="May"/>
    <d v="2023-05-19T00:00:00"/>
    <s v="CUST811"/>
    <x v="0"/>
    <x v="2"/>
    <n v="61"/>
    <x v="0"/>
    <n v="2"/>
    <n v="25"/>
    <n v="50"/>
    <n v="0.75"/>
    <n v="1"/>
  </r>
  <r>
    <n v="812"/>
    <n v="12"/>
    <n v="11"/>
    <n v="2023"/>
    <s v="Sunday"/>
    <s v="Nov"/>
    <d v="2023-11-12T00:00:00"/>
    <s v="CUST812"/>
    <x v="0"/>
    <x v="1"/>
    <n v="19"/>
    <x v="2"/>
    <n v="3"/>
    <n v="25"/>
    <n v="75"/>
    <n v="1.125"/>
    <n v="1.5"/>
  </r>
  <r>
    <n v="813"/>
    <n v="3"/>
    <n v="10"/>
    <n v="2023"/>
    <s v="Tuesday"/>
    <s v="Oct"/>
    <d v="2023-10-03T00:00:00"/>
    <s v="CUST813"/>
    <x v="0"/>
    <x v="2"/>
    <n v="52"/>
    <x v="2"/>
    <n v="3"/>
    <n v="50"/>
    <n v="150"/>
    <n v="2.25"/>
    <n v="3"/>
  </r>
  <r>
    <n v="814"/>
    <n v="5"/>
    <n v="9"/>
    <n v="2023"/>
    <s v="Tuesday"/>
    <s v="Sep"/>
    <d v="2023-09-05T00:00:00"/>
    <s v="CUST814"/>
    <x v="1"/>
    <x v="2"/>
    <n v="59"/>
    <x v="1"/>
    <n v="1"/>
    <n v="500"/>
    <n v="500"/>
    <n v="7.5"/>
    <n v="10"/>
  </r>
  <r>
    <n v="815"/>
    <n v="27"/>
    <n v="8"/>
    <n v="2023"/>
    <s v="Sunday"/>
    <s v="Aug"/>
    <d v="2023-08-27T00:00:00"/>
    <s v="CUST815"/>
    <x v="1"/>
    <x v="2"/>
    <n v="51"/>
    <x v="1"/>
    <n v="3"/>
    <n v="25"/>
    <n v="75"/>
    <n v="1.125"/>
    <n v="1.5"/>
  </r>
  <r>
    <n v="816"/>
    <n v="12"/>
    <n v="8"/>
    <n v="2023"/>
    <s v="Saturday"/>
    <s v="Aug"/>
    <d v="2023-08-12T00:00:00"/>
    <s v="CUST816"/>
    <x v="0"/>
    <x v="0"/>
    <n v="47"/>
    <x v="0"/>
    <n v="2"/>
    <n v="500"/>
    <n v="1000"/>
    <n v="15"/>
    <n v="20"/>
  </r>
  <r>
    <n v="817"/>
    <n v="31"/>
    <n v="10"/>
    <n v="2023"/>
    <s v="Tuesday"/>
    <s v="Oct"/>
    <d v="2023-10-31T00:00:00"/>
    <s v="CUST817"/>
    <x v="0"/>
    <x v="0"/>
    <n v="30"/>
    <x v="0"/>
    <n v="4"/>
    <n v="50"/>
    <n v="200"/>
    <n v="3"/>
    <n v="4"/>
  </r>
  <r>
    <n v="818"/>
    <n v="18"/>
    <n v="5"/>
    <n v="2023"/>
    <s v="Thursday"/>
    <s v="May"/>
    <d v="2023-05-18T00:00:00"/>
    <s v="CUST818"/>
    <x v="0"/>
    <x v="0"/>
    <n v="30"/>
    <x v="2"/>
    <n v="1"/>
    <n v="500"/>
    <n v="500"/>
    <n v="7.5"/>
    <n v="10"/>
  </r>
  <r>
    <n v="819"/>
    <n v="15"/>
    <n v="6"/>
    <n v="2023"/>
    <s v="Thursday"/>
    <s v="Jun"/>
    <d v="2023-06-15T00:00:00"/>
    <s v="CUST819"/>
    <x v="1"/>
    <x v="0"/>
    <n v="35"/>
    <x v="0"/>
    <n v="2"/>
    <n v="50"/>
    <n v="100"/>
    <n v="1.5"/>
    <n v="2"/>
  </r>
  <r>
    <n v="820"/>
    <n v="6"/>
    <n v="5"/>
    <n v="2023"/>
    <s v="Saturday"/>
    <s v="May"/>
    <d v="2023-05-06T00:00:00"/>
    <s v="CUST820"/>
    <x v="0"/>
    <x v="0"/>
    <n v="49"/>
    <x v="2"/>
    <n v="4"/>
    <n v="50"/>
    <n v="200"/>
    <n v="3"/>
    <n v="4"/>
  </r>
  <r>
    <n v="821"/>
    <n v="14"/>
    <n v="2"/>
    <n v="2023"/>
    <s v="Tuesday"/>
    <s v="Feb"/>
    <d v="2023-02-14T00:00:00"/>
    <s v="CUST821"/>
    <x v="0"/>
    <x v="0"/>
    <n v="49"/>
    <x v="2"/>
    <n v="1"/>
    <n v="300"/>
    <n v="300"/>
    <n v="4.5"/>
    <n v="6"/>
  </r>
  <r>
    <n v="822"/>
    <n v="23"/>
    <n v="5"/>
    <n v="2023"/>
    <s v="Tuesday"/>
    <s v="May"/>
    <d v="2023-05-23T00:00:00"/>
    <s v="CUST822"/>
    <x v="1"/>
    <x v="2"/>
    <n v="52"/>
    <x v="0"/>
    <n v="3"/>
    <n v="50"/>
    <n v="150"/>
    <n v="2.25"/>
    <n v="3"/>
  </r>
  <r>
    <n v="823"/>
    <n v="19"/>
    <n v="8"/>
    <n v="2023"/>
    <s v="Saturday"/>
    <s v="Aug"/>
    <d v="2023-08-19T00:00:00"/>
    <s v="CUST823"/>
    <x v="1"/>
    <x v="2"/>
    <n v="56"/>
    <x v="2"/>
    <n v="2"/>
    <n v="50"/>
    <n v="100"/>
    <n v="1.5"/>
    <n v="2"/>
  </r>
  <r>
    <n v="824"/>
    <n v="5"/>
    <n v="5"/>
    <n v="2023"/>
    <s v="Friday"/>
    <s v="May"/>
    <d v="2023-05-05T00:00:00"/>
    <s v="CUST824"/>
    <x v="0"/>
    <x v="2"/>
    <n v="63"/>
    <x v="1"/>
    <n v="4"/>
    <n v="30"/>
    <n v="120"/>
    <n v="1.7999999999999998"/>
    <n v="2.4"/>
  </r>
  <r>
    <n v="825"/>
    <n v="26"/>
    <n v="8"/>
    <n v="2023"/>
    <s v="Saturday"/>
    <s v="Aug"/>
    <d v="2023-08-26T00:00:00"/>
    <s v="CUST825"/>
    <x v="1"/>
    <x v="0"/>
    <n v="46"/>
    <x v="0"/>
    <n v="1"/>
    <n v="25"/>
    <n v="25"/>
    <n v="0.375"/>
    <n v="0.5"/>
  </r>
  <r>
    <n v="826"/>
    <n v="19"/>
    <n v="10"/>
    <n v="2023"/>
    <s v="Thursday"/>
    <s v="Oct"/>
    <d v="2023-10-19T00:00:00"/>
    <s v="CUST826"/>
    <x v="1"/>
    <x v="0"/>
    <n v="46"/>
    <x v="1"/>
    <n v="1"/>
    <n v="300"/>
    <n v="300"/>
    <n v="4.5"/>
    <n v="6"/>
  </r>
  <r>
    <n v="827"/>
    <n v="9"/>
    <n v="11"/>
    <n v="2023"/>
    <s v="Thursday"/>
    <s v="Nov"/>
    <d v="2023-11-09T00:00:00"/>
    <s v="CUST827"/>
    <x v="0"/>
    <x v="2"/>
    <n v="61"/>
    <x v="0"/>
    <n v="3"/>
    <n v="300"/>
    <n v="900"/>
    <n v="13.5"/>
    <n v="18"/>
  </r>
  <r>
    <n v="828"/>
    <n v="9"/>
    <n v="12"/>
    <n v="2023"/>
    <s v="Saturday"/>
    <s v="Dec"/>
    <d v="2023-12-09T00:00:00"/>
    <s v="CUST828"/>
    <x v="1"/>
    <x v="0"/>
    <n v="33"/>
    <x v="2"/>
    <n v="4"/>
    <n v="300"/>
    <n v="1200"/>
    <n v="18"/>
    <n v="24"/>
  </r>
  <r>
    <n v="829"/>
    <n v="14"/>
    <n v="7"/>
    <n v="2023"/>
    <s v="Friday"/>
    <s v="Jul"/>
    <d v="2023-07-14T00:00:00"/>
    <s v="CUST829"/>
    <x v="0"/>
    <x v="2"/>
    <n v="61"/>
    <x v="0"/>
    <n v="3"/>
    <n v="30"/>
    <n v="90"/>
    <n v="1.3499999999999999"/>
    <n v="1.8"/>
  </r>
  <r>
    <n v="830"/>
    <n v="22"/>
    <n v="6"/>
    <n v="2023"/>
    <s v="Thursday"/>
    <s v="Jun"/>
    <d v="2023-06-22T00:00:00"/>
    <s v="CUST830"/>
    <x v="1"/>
    <x v="2"/>
    <n v="64"/>
    <x v="1"/>
    <n v="3"/>
    <n v="50"/>
    <n v="150"/>
    <n v="2.25"/>
    <n v="3"/>
  </r>
  <r>
    <n v="831"/>
    <n v="15"/>
    <n v="1"/>
    <n v="2023"/>
    <s v="Sunday"/>
    <s v="Jan"/>
    <d v="2023-01-15T00:00:00"/>
    <s v="CUST831"/>
    <x v="0"/>
    <x v="1"/>
    <n v="27"/>
    <x v="2"/>
    <n v="4"/>
    <n v="25"/>
    <n v="100"/>
    <n v="1.5"/>
    <n v="2"/>
  </r>
  <r>
    <n v="832"/>
    <n v="11"/>
    <n v="9"/>
    <n v="2023"/>
    <s v="Monday"/>
    <s v="Sep"/>
    <d v="2023-09-11T00:00:00"/>
    <s v="CUST832"/>
    <x v="0"/>
    <x v="0"/>
    <n v="47"/>
    <x v="0"/>
    <n v="4"/>
    <n v="500"/>
    <n v="2000"/>
    <n v="30"/>
    <n v="40"/>
  </r>
  <r>
    <n v="833"/>
    <n v="16"/>
    <n v="6"/>
    <n v="2023"/>
    <s v="Friday"/>
    <s v="Jun"/>
    <d v="2023-06-16T00:00:00"/>
    <s v="CUST833"/>
    <x v="0"/>
    <x v="0"/>
    <n v="42"/>
    <x v="0"/>
    <n v="4"/>
    <n v="50"/>
    <n v="200"/>
    <n v="3"/>
    <n v="4"/>
  </r>
  <r>
    <n v="834"/>
    <n v="4"/>
    <n v="4"/>
    <n v="2023"/>
    <s v="Tuesday"/>
    <s v="Apr"/>
    <d v="2023-04-04T00:00:00"/>
    <s v="CUST834"/>
    <x v="1"/>
    <x v="2"/>
    <n v="56"/>
    <x v="0"/>
    <n v="2"/>
    <n v="30"/>
    <n v="60"/>
    <n v="0.89999999999999991"/>
    <n v="1.2"/>
  </r>
  <r>
    <n v="835"/>
    <n v="7"/>
    <n v="9"/>
    <n v="2023"/>
    <s v="Thursday"/>
    <s v="Sep"/>
    <d v="2023-09-07T00:00:00"/>
    <s v="CUST835"/>
    <x v="0"/>
    <x v="0"/>
    <n v="37"/>
    <x v="1"/>
    <n v="4"/>
    <n v="50"/>
    <n v="200"/>
    <n v="3"/>
    <n v="4"/>
  </r>
  <r>
    <n v="836"/>
    <n v="19"/>
    <n v="4"/>
    <n v="2023"/>
    <s v="Wednesday"/>
    <s v="Apr"/>
    <d v="2023-04-19T00:00:00"/>
    <s v="CUST836"/>
    <x v="1"/>
    <x v="1"/>
    <n v="22"/>
    <x v="1"/>
    <n v="1"/>
    <n v="50"/>
    <n v="50"/>
    <n v="0.75"/>
    <n v="1"/>
  </r>
  <r>
    <n v="837"/>
    <n v="1"/>
    <n v="7"/>
    <n v="2023"/>
    <s v="Saturday"/>
    <s v="Jul"/>
    <d v="2023-07-01T00:00:00"/>
    <s v="CUST837"/>
    <x v="0"/>
    <x v="1"/>
    <n v="18"/>
    <x v="0"/>
    <n v="3"/>
    <n v="30"/>
    <n v="90"/>
    <n v="1.3499999999999999"/>
    <n v="1.8"/>
  </r>
  <r>
    <n v="838"/>
    <n v="13"/>
    <n v="5"/>
    <n v="2023"/>
    <s v="Saturday"/>
    <s v="May"/>
    <d v="2023-05-13T00:00:00"/>
    <s v="CUST838"/>
    <x v="0"/>
    <x v="0"/>
    <n v="47"/>
    <x v="2"/>
    <n v="2"/>
    <n v="300"/>
    <n v="600"/>
    <n v="9"/>
    <n v="12"/>
  </r>
  <r>
    <n v="839"/>
    <n v="24"/>
    <n v="6"/>
    <n v="2023"/>
    <s v="Saturday"/>
    <s v="Jun"/>
    <d v="2023-06-24T00:00:00"/>
    <s v="CUST839"/>
    <x v="1"/>
    <x v="1"/>
    <n v="20"/>
    <x v="2"/>
    <n v="4"/>
    <n v="300"/>
    <n v="1200"/>
    <n v="18"/>
    <n v="24"/>
  </r>
  <r>
    <n v="840"/>
    <n v="24"/>
    <n v="5"/>
    <n v="2023"/>
    <s v="Wednesday"/>
    <s v="May"/>
    <d v="2023-05-24T00:00:00"/>
    <s v="CUST840"/>
    <x v="0"/>
    <x v="2"/>
    <n v="62"/>
    <x v="1"/>
    <n v="2"/>
    <n v="25"/>
    <n v="50"/>
    <n v="0.75"/>
    <n v="1"/>
  </r>
  <r>
    <n v="841"/>
    <n v="2"/>
    <n v="11"/>
    <n v="2023"/>
    <s v="Thursday"/>
    <s v="Nov"/>
    <d v="2023-11-02T00:00:00"/>
    <s v="CUST841"/>
    <x v="0"/>
    <x v="0"/>
    <n v="31"/>
    <x v="2"/>
    <n v="4"/>
    <n v="25"/>
    <n v="100"/>
    <n v="1.5"/>
    <n v="2"/>
  </r>
  <r>
    <n v="842"/>
    <n v="26"/>
    <n v="12"/>
    <n v="2023"/>
    <s v="Tuesday"/>
    <s v="Dec"/>
    <d v="2023-12-26T00:00:00"/>
    <s v="CUST842"/>
    <x v="1"/>
    <x v="0"/>
    <n v="47"/>
    <x v="1"/>
    <n v="2"/>
    <n v="300"/>
    <n v="600"/>
    <n v="9"/>
    <n v="12"/>
  </r>
  <r>
    <n v="843"/>
    <n v="22"/>
    <n v="5"/>
    <n v="2023"/>
    <s v="Monday"/>
    <s v="May"/>
    <d v="2023-05-22T00:00:00"/>
    <s v="CUST843"/>
    <x v="0"/>
    <x v="1"/>
    <n v="21"/>
    <x v="0"/>
    <n v="3"/>
    <n v="500"/>
    <n v="1500"/>
    <n v="22.5"/>
    <n v="30"/>
  </r>
  <r>
    <n v="844"/>
    <n v="12"/>
    <n v="10"/>
    <n v="2023"/>
    <s v="Thursday"/>
    <s v="Oct"/>
    <d v="2023-10-12T00:00:00"/>
    <s v="CUST844"/>
    <x v="0"/>
    <x v="0"/>
    <n v="35"/>
    <x v="1"/>
    <n v="3"/>
    <n v="50"/>
    <n v="150"/>
    <n v="2.25"/>
    <n v="3"/>
  </r>
  <r>
    <n v="845"/>
    <n v="6"/>
    <n v="1"/>
    <n v="2023"/>
    <s v="Friday"/>
    <s v="Jan"/>
    <d v="2023-01-06T00:00:00"/>
    <s v="CUST845"/>
    <x v="0"/>
    <x v="2"/>
    <n v="54"/>
    <x v="1"/>
    <n v="1"/>
    <n v="500"/>
    <n v="500"/>
    <n v="7.5"/>
    <n v="10"/>
  </r>
  <r>
    <n v="846"/>
    <n v="22"/>
    <n v="9"/>
    <n v="2023"/>
    <s v="Friday"/>
    <s v="Sep"/>
    <d v="2023-09-22T00:00:00"/>
    <s v="CUST846"/>
    <x v="0"/>
    <x v="0"/>
    <n v="42"/>
    <x v="0"/>
    <n v="1"/>
    <n v="50"/>
    <n v="50"/>
    <n v="0.75"/>
    <n v="1"/>
  </r>
  <r>
    <n v="847"/>
    <n v="8"/>
    <n v="4"/>
    <n v="2023"/>
    <s v="Saturday"/>
    <s v="Apr"/>
    <d v="2023-04-08T00:00:00"/>
    <s v="CUST847"/>
    <x v="1"/>
    <x v="1"/>
    <n v="18"/>
    <x v="2"/>
    <n v="4"/>
    <n v="300"/>
    <n v="1200"/>
    <n v="18"/>
    <n v="24"/>
  </r>
  <r>
    <n v="848"/>
    <n v="13"/>
    <n v="2"/>
    <n v="2023"/>
    <s v="Monday"/>
    <s v="Feb"/>
    <d v="2023-02-13T00:00:00"/>
    <s v="CUST848"/>
    <x v="1"/>
    <x v="2"/>
    <n v="63"/>
    <x v="1"/>
    <n v="3"/>
    <n v="25"/>
    <n v="75"/>
    <n v="1.125"/>
    <n v="1.5"/>
  </r>
  <r>
    <n v="849"/>
    <n v="4"/>
    <n v="5"/>
    <n v="2023"/>
    <s v="Thursday"/>
    <s v="May"/>
    <d v="2023-05-04T00:00:00"/>
    <s v="CUST849"/>
    <x v="0"/>
    <x v="0"/>
    <n v="32"/>
    <x v="1"/>
    <n v="2"/>
    <n v="25"/>
    <n v="50"/>
    <n v="0.75"/>
    <n v="1"/>
  </r>
  <r>
    <n v="850"/>
    <n v="28"/>
    <n v="7"/>
    <n v="2023"/>
    <s v="Friday"/>
    <s v="Jul"/>
    <d v="2023-07-28T00:00:00"/>
    <s v="CUST850"/>
    <x v="1"/>
    <x v="1"/>
    <n v="26"/>
    <x v="0"/>
    <n v="2"/>
    <n v="500"/>
    <n v="1000"/>
    <n v="15"/>
    <n v="20"/>
  </r>
  <r>
    <n v="851"/>
    <n v="8"/>
    <n v="9"/>
    <n v="2023"/>
    <s v="Friday"/>
    <s v="Sep"/>
    <d v="2023-09-08T00:00:00"/>
    <s v="CUST851"/>
    <x v="0"/>
    <x v="0"/>
    <n v="32"/>
    <x v="2"/>
    <n v="2"/>
    <n v="25"/>
    <n v="50"/>
    <n v="0.75"/>
    <n v="1"/>
  </r>
  <r>
    <n v="852"/>
    <n v="12"/>
    <n v="10"/>
    <n v="2023"/>
    <s v="Thursday"/>
    <s v="Oct"/>
    <d v="2023-10-12T00:00:00"/>
    <s v="CUST852"/>
    <x v="1"/>
    <x v="0"/>
    <n v="41"/>
    <x v="1"/>
    <n v="1"/>
    <n v="300"/>
    <n v="300"/>
    <n v="4.5"/>
    <n v="6"/>
  </r>
  <r>
    <n v="853"/>
    <n v="4"/>
    <n v="5"/>
    <n v="2023"/>
    <s v="Thursday"/>
    <s v="May"/>
    <d v="2023-05-04T00:00:00"/>
    <s v="CUST853"/>
    <x v="0"/>
    <x v="1"/>
    <n v="21"/>
    <x v="0"/>
    <n v="2"/>
    <n v="500"/>
    <n v="1000"/>
    <n v="15"/>
    <n v="20"/>
  </r>
  <r>
    <n v="854"/>
    <n v="20"/>
    <n v="12"/>
    <n v="2023"/>
    <s v="Wednesday"/>
    <s v="Dec"/>
    <d v="2023-12-20T00:00:00"/>
    <s v="CUST854"/>
    <x v="0"/>
    <x v="1"/>
    <n v="29"/>
    <x v="1"/>
    <n v="1"/>
    <n v="50"/>
    <n v="50"/>
    <n v="0.75"/>
    <n v="1"/>
  </r>
  <r>
    <n v="855"/>
    <n v="1"/>
    <n v="9"/>
    <n v="2023"/>
    <s v="Friday"/>
    <s v="Sep"/>
    <d v="2023-09-01T00:00:00"/>
    <s v="CUST855"/>
    <x v="0"/>
    <x v="2"/>
    <n v="54"/>
    <x v="0"/>
    <n v="1"/>
    <n v="25"/>
    <n v="25"/>
    <n v="0.375"/>
    <n v="0.5"/>
  </r>
  <r>
    <n v="856"/>
    <n v="27"/>
    <n v="11"/>
    <n v="2023"/>
    <s v="Monday"/>
    <s v="Nov"/>
    <d v="2023-11-27T00:00:00"/>
    <s v="CUST856"/>
    <x v="0"/>
    <x v="2"/>
    <n v="54"/>
    <x v="2"/>
    <n v="4"/>
    <n v="30"/>
    <n v="120"/>
    <n v="1.7999999999999998"/>
    <n v="2.4"/>
  </r>
  <r>
    <n v="857"/>
    <n v="31"/>
    <n v="12"/>
    <n v="2023"/>
    <s v="Sunday"/>
    <s v="Dec"/>
    <d v="2023-12-31T00:00:00"/>
    <s v="CUST857"/>
    <x v="0"/>
    <x v="2"/>
    <n v="60"/>
    <x v="2"/>
    <n v="2"/>
    <n v="25"/>
    <n v="50"/>
    <n v="0.75"/>
    <n v="1"/>
  </r>
  <r>
    <n v="858"/>
    <n v="9"/>
    <n v="9"/>
    <n v="2023"/>
    <s v="Saturday"/>
    <s v="Sep"/>
    <d v="2023-09-09T00:00:00"/>
    <s v="CUST858"/>
    <x v="0"/>
    <x v="1"/>
    <n v="23"/>
    <x v="2"/>
    <n v="2"/>
    <n v="50"/>
    <n v="100"/>
    <n v="1.5"/>
    <n v="2"/>
  </r>
  <r>
    <n v="859"/>
    <n v="18"/>
    <n v="8"/>
    <n v="2023"/>
    <s v="Friday"/>
    <s v="Aug"/>
    <d v="2023-08-18T00:00:00"/>
    <s v="CUST859"/>
    <x v="1"/>
    <x v="2"/>
    <n v="56"/>
    <x v="2"/>
    <n v="3"/>
    <n v="500"/>
    <n v="1500"/>
    <n v="22.5"/>
    <n v="30"/>
  </r>
  <r>
    <n v="860"/>
    <n v="9"/>
    <n v="1"/>
    <n v="2023"/>
    <s v="Monday"/>
    <s v="Jan"/>
    <d v="2023-01-09T00:00:00"/>
    <s v="CUST860"/>
    <x v="0"/>
    <x v="2"/>
    <n v="63"/>
    <x v="1"/>
    <n v="4"/>
    <n v="50"/>
    <n v="200"/>
    <n v="3"/>
    <n v="4"/>
  </r>
  <r>
    <n v="861"/>
    <n v="17"/>
    <n v="2"/>
    <n v="2023"/>
    <s v="Friday"/>
    <s v="Feb"/>
    <d v="2023-02-17T00:00:00"/>
    <s v="CUST861"/>
    <x v="1"/>
    <x v="0"/>
    <n v="41"/>
    <x v="1"/>
    <n v="3"/>
    <n v="30"/>
    <n v="90"/>
    <n v="1.3499999999999999"/>
    <n v="1.8"/>
  </r>
  <r>
    <n v="862"/>
    <n v="31"/>
    <n v="5"/>
    <n v="2023"/>
    <s v="Wednesday"/>
    <s v="May"/>
    <d v="2023-05-31T00:00:00"/>
    <s v="CUST862"/>
    <x v="0"/>
    <x v="1"/>
    <n v="28"/>
    <x v="2"/>
    <n v="4"/>
    <n v="300"/>
    <n v="1200"/>
    <n v="18"/>
    <n v="24"/>
  </r>
  <r>
    <n v="863"/>
    <n v="24"/>
    <n v="4"/>
    <n v="2023"/>
    <s v="Monday"/>
    <s v="Apr"/>
    <d v="2023-04-24T00:00:00"/>
    <s v="CUST863"/>
    <x v="1"/>
    <x v="0"/>
    <n v="30"/>
    <x v="2"/>
    <n v="2"/>
    <n v="25"/>
    <n v="50"/>
    <n v="0.75"/>
    <n v="1"/>
  </r>
  <r>
    <n v="864"/>
    <n v="27"/>
    <n v="7"/>
    <n v="2023"/>
    <s v="Thursday"/>
    <s v="Jul"/>
    <d v="2023-07-27T00:00:00"/>
    <s v="CUST864"/>
    <x v="1"/>
    <x v="2"/>
    <n v="51"/>
    <x v="2"/>
    <n v="1"/>
    <n v="500"/>
    <n v="500"/>
    <n v="7.5"/>
    <n v="10"/>
  </r>
  <r>
    <n v="865"/>
    <n v="21"/>
    <n v="12"/>
    <n v="2023"/>
    <s v="Thursday"/>
    <s v="Dec"/>
    <d v="2023-12-21T00:00:00"/>
    <s v="CUST865"/>
    <x v="1"/>
    <x v="0"/>
    <n v="42"/>
    <x v="1"/>
    <n v="1"/>
    <n v="300"/>
    <n v="300"/>
    <n v="4.5"/>
    <n v="6"/>
  </r>
  <r>
    <n v="866"/>
    <n v="5"/>
    <n v="5"/>
    <n v="2023"/>
    <s v="Friday"/>
    <s v="May"/>
    <d v="2023-05-05T00:00:00"/>
    <s v="CUST866"/>
    <x v="0"/>
    <x v="1"/>
    <n v="24"/>
    <x v="2"/>
    <n v="1"/>
    <n v="50"/>
    <n v="50"/>
    <n v="0.75"/>
    <n v="1"/>
  </r>
  <r>
    <n v="867"/>
    <n v="6"/>
    <n v="6"/>
    <n v="2023"/>
    <s v="Tuesday"/>
    <s v="Jun"/>
    <d v="2023-06-06T00:00:00"/>
    <s v="CUST867"/>
    <x v="0"/>
    <x v="1"/>
    <n v="21"/>
    <x v="2"/>
    <n v="1"/>
    <n v="500"/>
    <n v="500"/>
    <n v="7.5"/>
    <n v="10"/>
  </r>
  <r>
    <n v="868"/>
    <n v="6"/>
    <n v="12"/>
    <n v="2023"/>
    <s v="Wednesday"/>
    <s v="Dec"/>
    <d v="2023-12-06T00:00:00"/>
    <s v="CUST868"/>
    <x v="1"/>
    <x v="1"/>
    <n v="25"/>
    <x v="2"/>
    <n v="1"/>
    <n v="300"/>
    <n v="300"/>
    <n v="4.5"/>
    <n v="6"/>
  </r>
  <r>
    <n v="869"/>
    <n v="25"/>
    <n v="10"/>
    <n v="2023"/>
    <s v="Wednesday"/>
    <s v="Oct"/>
    <d v="2023-10-25T00:00:00"/>
    <s v="CUST869"/>
    <x v="0"/>
    <x v="0"/>
    <n v="37"/>
    <x v="0"/>
    <n v="3"/>
    <n v="500"/>
    <n v="1500"/>
    <n v="22.5"/>
    <n v="30"/>
  </r>
  <r>
    <n v="870"/>
    <n v="8"/>
    <n v="7"/>
    <n v="2023"/>
    <s v="Saturday"/>
    <s v="Jul"/>
    <d v="2023-07-08T00:00:00"/>
    <s v="CUST870"/>
    <x v="1"/>
    <x v="0"/>
    <n v="46"/>
    <x v="2"/>
    <n v="4"/>
    <n v="30"/>
    <n v="120"/>
    <n v="1.7999999999999998"/>
    <n v="2.4"/>
  </r>
  <r>
    <n v="871"/>
    <n v="31"/>
    <n v="8"/>
    <n v="2023"/>
    <s v="Thursday"/>
    <s v="Aug"/>
    <d v="2023-08-31T00:00:00"/>
    <s v="CUST871"/>
    <x v="0"/>
    <x v="2"/>
    <n v="62"/>
    <x v="0"/>
    <n v="2"/>
    <n v="30"/>
    <n v="60"/>
    <n v="0.89999999999999991"/>
    <n v="1.2"/>
  </r>
  <r>
    <n v="872"/>
    <n v="11"/>
    <n v="10"/>
    <n v="2023"/>
    <s v="Wednesday"/>
    <s v="Oct"/>
    <d v="2023-10-11T00:00:00"/>
    <s v="CUST872"/>
    <x v="1"/>
    <x v="2"/>
    <n v="63"/>
    <x v="0"/>
    <n v="3"/>
    <n v="25"/>
    <n v="75"/>
    <n v="1.125"/>
    <n v="1.5"/>
  </r>
  <r>
    <n v="873"/>
    <n v="29"/>
    <n v="9"/>
    <n v="2023"/>
    <s v="Friday"/>
    <s v="Sep"/>
    <d v="2023-09-29T00:00:00"/>
    <s v="CUST873"/>
    <x v="1"/>
    <x v="1"/>
    <n v="27"/>
    <x v="2"/>
    <n v="4"/>
    <n v="25"/>
    <n v="100"/>
    <n v="1.5"/>
    <n v="2"/>
  </r>
  <r>
    <n v="874"/>
    <n v="26"/>
    <n v="6"/>
    <n v="2023"/>
    <s v="Monday"/>
    <s v="Jun"/>
    <d v="2023-06-26T00:00:00"/>
    <s v="CUST874"/>
    <x v="0"/>
    <x v="2"/>
    <n v="60"/>
    <x v="0"/>
    <n v="1"/>
    <n v="30"/>
    <n v="30"/>
    <n v="0.44999999999999996"/>
    <n v="0.6"/>
  </r>
  <r>
    <n v="875"/>
    <n v="6"/>
    <n v="8"/>
    <n v="2023"/>
    <s v="Sunday"/>
    <s v="Aug"/>
    <d v="2023-08-06T00:00:00"/>
    <s v="CUST875"/>
    <x v="1"/>
    <x v="2"/>
    <n v="51"/>
    <x v="2"/>
    <n v="4"/>
    <n v="500"/>
    <n v="2000"/>
    <n v="30"/>
    <n v="40"/>
  </r>
  <r>
    <n v="876"/>
    <n v="9"/>
    <n v="10"/>
    <n v="2023"/>
    <s v="Monday"/>
    <s v="Oct"/>
    <d v="2023-10-09T00:00:00"/>
    <s v="CUST876"/>
    <x v="0"/>
    <x v="0"/>
    <n v="43"/>
    <x v="1"/>
    <n v="4"/>
    <n v="30"/>
    <n v="120"/>
    <n v="1.7999999999999998"/>
    <n v="2.4"/>
  </r>
  <r>
    <n v="877"/>
    <n v="19"/>
    <n v="6"/>
    <n v="2023"/>
    <s v="Monday"/>
    <s v="Jun"/>
    <d v="2023-06-19T00:00:00"/>
    <s v="CUST877"/>
    <x v="1"/>
    <x v="2"/>
    <n v="58"/>
    <x v="1"/>
    <n v="1"/>
    <n v="25"/>
    <n v="25"/>
    <n v="0.375"/>
    <n v="0.5"/>
  </r>
  <r>
    <n v="878"/>
    <n v="30"/>
    <n v="6"/>
    <n v="2023"/>
    <s v="Friday"/>
    <s v="Jun"/>
    <d v="2023-06-30T00:00:00"/>
    <s v="CUST878"/>
    <x v="1"/>
    <x v="1"/>
    <n v="20"/>
    <x v="1"/>
    <n v="1"/>
    <n v="30"/>
    <n v="30"/>
    <n v="0.44999999999999996"/>
    <n v="0.6"/>
  </r>
  <r>
    <n v="879"/>
    <n v="26"/>
    <n v="12"/>
    <n v="2023"/>
    <s v="Tuesday"/>
    <s v="Dec"/>
    <d v="2023-12-26T00:00:00"/>
    <s v="CUST879"/>
    <x v="0"/>
    <x v="1"/>
    <n v="23"/>
    <x v="1"/>
    <n v="1"/>
    <n v="30"/>
    <n v="30"/>
    <n v="0.44999999999999996"/>
    <n v="0.6"/>
  </r>
  <r>
    <n v="880"/>
    <n v="21"/>
    <n v="8"/>
    <n v="2023"/>
    <s v="Monday"/>
    <s v="Aug"/>
    <d v="2023-08-21T00:00:00"/>
    <s v="CUST880"/>
    <x v="0"/>
    <x v="1"/>
    <n v="22"/>
    <x v="0"/>
    <n v="2"/>
    <n v="500"/>
    <n v="1000"/>
    <n v="15"/>
    <n v="20"/>
  </r>
  <r>
    <n v="881"/>
    <n v="19"/>
    <n v="5"/>
    <n v="2023"/>
    <s v="Friday"/>
    <s v="May"/>
    <d v="2023-05-19T00:00:00"/>
    <s v="CUST881"/>
    <x v="0"/>
    <x v="1"/>
    <n v="22"/>
    <x v="2"/>
    <n v="1"/>
    <n v="300"/>
    <n v="300"/>
    <n v="4.5"/>
    <n v="6"/>
  </r>
  <r>
    <n v="882"/>
    <n v="6"/>
    <n v="6"/>
    <n v="2023"/>
    <s v="Tuesday"/>
    <s v="Jun"/>
    <d v="2023-06-06T00:00:00"/>
    <s v="CUST882"/>
    <x v="1"/>
    <x v="2"/>
    <n v="64"/>
    <x v="2"/>
    <n v="2"/>
    <n v="25"/>
    <n v="50"/>
    <n v="0.75"/>
    <n v="1"/>
  </r>
  <r>
    <n v="883"/>
    <n v="9"/>
    <n v="5"/>
    <n v="2023"/>
    <s v="Tuesday"/>
    <s v="May"/>
    <d v="2023-05-09T00:00:00"/>
    <s v="CUST883"/>
    <x v="0"/>
    <x v="0"/>
    <n v="40"/>
    <x v="2"/>
    <n v="1"/>
    <n v="500"/>
    <n v="500"/>
    <n v="7.5"/>
    <n v="10"/>
  </r>
  <r>
    <n v="884"/>
    <n v="29"/>
    <n v="4"/>
    <n v="2023"/>
    <s v="Saturday"/>
    <s v="Apr"/>
    <d v="2023-04-29T00:00:00"/>
    <s v="CUST884"/>
    <x v="1"/>
    <x v="1"/>
    <n v="26"/>
    <x v="1"/>
    <n v="2"/>
    <n v="30"/>
    <n v="60"/>
    <n v="0.89999999999999991"/>
    <n v="1.2"/>
  </r>
  <r>
    <n v="885"/>
    <n v="3"/>
    <n v="3"/>
    <n v="2023"/>
    <s v="Friday"/>
    <s v="Mar"/>
    <d v="2023-03-03T00:00:00"/>
    <s v="CUST885"/>
    <x v="1"/>
    <x v="2"/>
    <n v="52"/>
    <x v="1"/>
    <n v="4"/>
    <n v="30"/>
    <n v="120"/>
    <n v="1.7999999999999998"/>
    <n v="2.4"/>
  </r>
  <r>
    <n v="886"/>
    <n v="9"/>
    <n v="4"/>
    <n v="2023"/>
    <s v="Sunday"/>
    <s v="Apr"/>
    <d v="2023-04-09T00:00:00"/>
    <s v="CUST886"/>
    <x v="0"/>
    <x v="0"/>
    <n v="37"/>
    <x v="2"/>
    <n v="3"/>
    <n v="300"/>
    <n v="900"/>
    <n v="13.5"/>
    <n v="18"/>
  </r>
  <r>
    <n v="887"/>
    <n v="11"/>
    <n v="6"/>
    <n v="2023"/>
    <s v="Sunday"/>
    <s v="Jun"/>
    <d v="2023-06-11T00:00:00"/>
    <s v="CUST887"/>
    <x v="0"/>
    <x v="2"/>
    <n v="59"/>
    <x v="1"/>
    <n v="4"/>
    <n v="25"/>
    <n v="100"/>
    <n v="1.5"/>
    <n v="2"/>
  </r>
  <r>
    <n v="888"/>
    <n v="3"/>
    <n v="3"/>
    <n v="2023"/>
    <s v="Friday"/>
    <s v="Mar"/>
    <d v="2023-03-03T00:00:00"/>
    <s v="CUST888"/>
    <x v="1"/>
    <x v="2"/>
    <n v="52"/>
    <x v="2"/>
    <n v="4"/>
    <n v="25"/>
    <n v="100"/>
    <n v="1.5"/>
    <n v="2"/>
  </r>
  <r>
    <n v="889"/>
    <n v="2"/>
    <n v="10"/>
    <n v="2023"/>
    <s v="Monday"/>
    <s v="Oct"/>
    <d v="2023-10-02T00:00:00"/>
    <s v="CUST889"/>
    <x v="1"/>
    <x v="0"/>
    <n v="35"/>
    <x v="2"/>
    <n v="1"/>
    <n v="50"/>
    <n v="50"/>
    <n v="0.75"/>
    <n v="1"/>
  </r>
  <r>
    <n v="890"/>
    <n v="20"/>
    <n v="12"/>
    <n v="2023"/>
    <s v="Wednesday"/>
    <s v="Dec"/>
    <d v="2023-12-20T00:00:00"/>
    <s v="CUST890"/>
    <x v="0"/>
    <x v="0"/>
    <n v="34"/>
    <x v="2"/>
    <n v="2"/>
    <n v="25"/>
    <n v="50"/>
    <n v="0.75"/>
    <n v="1"/>
  </r>
  <r>
    <n v="891"/>
    <n v="5"/>
    <n v="4"/>
    <n v="2023"/>
    <s v="Wednesday"/>
    <s v="Apr"/>
    <d v="2023-04-05T00:00:00"/>
    <s v="CUST891"/>
    <x v="0"/>
    <x v="0"/>
    <n v="41"/>
    <x v="2"/>
    <n v="3"/>
    <n v="300"/>
    <n v="900"/>
    <n v="13.5"/>
    <n v="18"/>
  </r>
  <r>
    <n v="892"/>
    <n v="9"/>
    <n v="4"/>
    <n v="2023"/>
    <s v="Sunday"/>
    <s v="Apr"/>
    <d v="2023-04-09T00:00:00"/>
    <s v="CUST892"/>
    <x v="0"/>
    <x v="1"/>
    <n v="20"/>
    <x v="2"/>
    <n v="1"/>
    <n v="50"/>
    <n v="50"/>
    <n v="0.75"/>
    <n v="1"/>
  </r>
  <r>
    <n v="893"/>
    <n v="21"/>
    <n v="4"/>
    <n v="2023"/>
    <s v="Friday"/>
    <s v="Apr"/>
    <d v="2023-04-21T00:00:00"/>
    <s v="CUST893"/>
    <x v="0"/>
    <x v="0"/>
    <n v="49"/>
    <x v="2"/>
    <n v="1"/>
    <n v="50"/>
    <n v="50"/>
    <n v="0.75"/>
    <n v="1"/>
  </r>
  <r>
    <n v="894"/>
    <n v="5"/>
    <n v="9"/>
    <n v="2023"/>
    <s v="Tuesday"/>
    <s v="Sep"/>
    <d v="2023-09-05T00:00:00"/>
    <s v="CUST894"/>
    <x v="0"/>
    <x v="2"/>
    <n v="52"/>
    <x v="2"/>
    <n v="1"/>
    <n v="30"/>
    <n v="30"/>
    <n v="0.44999999999999996"/>
    <n v="0.6"/>
  </r>
  <r>
    <n v="895"/>
    <n v="22"/>
    <n v="5"/>
    <n v="2023"/>
    <s v="Monday"/>
    <s v="May"/>
    <d v="2023-05-22T00:00:00"/>
    <s v="CUST895"/>
    <x v="1"/>
    <x v="2"/>
    <n v="55"/>
    <x v="1"/>
    <n v="4"/>
    <n v="30"/>
    <n v="120"/>
    <n v="1.7999999999999998"/>
    <n v="2.4"/>
  </r>
  <r>
    <n v="896"/>
    <n v="29"/>
    <n v="10"/>
    <n v="2023"/>
    <s v="Sunday"/>
    <s v="Oct"/>
    <d v="2023-10-29T00:00:00"/>
    <s v="CUST896"/>
    <x v="1"/>
    <x v="0"/>
    <n v="30"/>
    <x v="2"/>
    <n v="2"/>
    <n v="25"/>
    <n v="50"/>
    <n v="0.75"/>
    <n v="1"/>
  </r>
  <r>
    <n v="897"/>
    <n v="26"/>
    <n v="9"/>
    <n v="2023"/>
    <s v="Tuesday"/>
    <s v="Sep"/>
    <d v="2023-09-26T00:00:00"/>
    <s v="CUST897"/>
    <x v="1"/>
    <x v="2"/>
    <n v="64"/>
    <x v="2"/>
    <n v="2"/>
    <n v="50"/>
    <n v="100"/>
    <n v="1.5"/>
    <n v="2"/>
  </r>
  <r>
    <n v="898"/>
    <n v="2"/>
    <n v="11"/>
    <n v="2023"/>
    <s v="Thursday"/>
    <s v="Nov"/>
    <d v="2023-11-02T00:00:00"/>
    <s v="CUST898"/>
    <x v="1"/>
    <x v="0"/>
    <n v="42"/>
    <x v="1"/>
    <n v="3"/>
    <n v="30"/>
    <n v="90"/>
    <n v="1.3499999999999999"/>
    <n v="1.8"/>
  </r>
  <r>
    <n v="899"/>
    <n v="25"/>
    <n v="5"/>
    <n v="2023"/>
    <s v="Thursday"/>
    <s v="May"/>
    <d v="2023-05-25T00:00:00"/>
    <s v="CUST899"/>
    <x v="0"/>
    <x v="1"/>
    <n v="26"/>
    <x v="1"/>
    <n v="2"/>
    <n v="300"/>
    <n v="600"/>
    <n v="9"/>
    <n v="12"/>
  </r>
  <r>
    <n v="900"/>
    <n v="21"/>
    <n v="2"/>
    <n v="2023"/>
    <s v="Tuesday"/>
    <s v="Feb"/>
    <d v="2023-02-21T00:00:00"/>
    <s v="CUST900"/>
    <x v="0"/>
    <x v="1"/>
    <n v="21"/>
    <x v="1"/>
    <n v="2"/>
    <n v="30"/>
    <n v="60"/>
    <n v="0.89999999999999991"/>
    <n v="1.2"/>
  </r>
  <r>
    <n v="901"/>
    <n v="10"/>
    <n v="4"/>
    <n v="2023"/>
    <s v="Monday"/>
    <s v="Apr"/>
    <d v="2023-04-10T00:00:00"/>
    <s v="CUST901"/>
    <x v="0"/>
    <x v="0"/>
    <n v="31"/>
    <x v="2"/>
    <n v="1"/>
    <n v="30"/>
    <n v="30"/>
    <n v="0.44999999999999996"/>
    <n v="0.6"/>
  </r>
  <r>
    <n v="902"/>
    <n v="1"/>
    <n v="6"/>
    <n v="2023"/>
    <s v="Thursday"/>
    <s v="Jun"/>
    <d v="2023-06-01T00:00:00"/>
    <s v="CUST902"/>
    <x v="1"/>
    <x v="2"/>
    <n v="54"/>
    <x v="0"/>
    <n v="1"/>
    <n v="50"/>
    <n v="50"/>
    <n v="0.75"/>
    <n v="1"/>
  </r>
  <r>
    <n v="903"/>
    <n v="27"/>
    <n v="4"/>
    <n v="2023"/>
    <s v="Thursday"/>
    <s v="Apr"/>
    <d v="2023-04-27T00:00:00"/>
    <s v="CUST903"/>
    <x v="1"/>
    <x v="2"/>
    <n v="51"/>
    <x v="0"/>
    <n v="4"/>
    <n v="50"/>
    <n v="200"/>
    <n v="3"/>
    <n v="4"/>
  </r>
  <r>
    <n v="904"/>
    <n v="4"/>
    <n v="7"/>
    <n v="2023"/>
    <s v="Tuesday"/>
    <s v="Jul"/>
    <d v="2023-07-04T00:00:00"/>
    <s v="CUST904"/>
    <x v="0"/>
    <x v="1"/>
    <n v="28"/>
    <x v="1"/>
    <n v="1"/>
    <n v="500"/>
    <n v="500"/>
    <n v="7.5"/>
    <n v="10"/>
  </r>
  <r>
    <n v="905"/>
    <n v="2"/>
    <n v="4"/>
    <n v="2023"/>
    <s v="Sunday"/>
    <s v="Apr"/>
    <d v="2023-04-02T00:00:00"/>
    <s v="CUST905"/>
    <x v="0"/>
    <x v="2"/>
    <n v="58"/>
    <x v="0"/>
    <n v="1"/>
    <n v="300"/>
    <n v="300"/>
    <n v="4.5"/>
    <n v="6"/>
  </r>
  <r>
    <n v="906"/>
    <n v="4"/>
    <n v="6"/>
    <n v="2023"/>
    <s v="Sunday"/>
    <s v="Jun"/>
    <d v="2023-06-04T00:00:00"/>
    <s v="CUST906"/>
    <x v="1"/>
    <x v="1"/>
    <n v="20"/>
    <x v="1"/>
    <n v="1"/>
    <n v="50"/>
    <n v="50"/>
    <n v="0.75"/>
    <n v="1"/>
  </r>
  <r>
    <n v="907"/>
    <n v="8"/>
    <n v="1"/>
    <n v="2023"/>
    <s v="Sunday"/>
    <s v="Jan"/>
    <d v="2023-01-08T00:00:00"/>
    <s v="CUST907"/>
    <x v="1"/>
    <x v="0"/>
    <n v="45"/>
    <x v="2"/>
    <n v="1"/>
    <n v="25"/>
    <n v="25"/>
    <n v="0.375"/>
    <n v="0.5"/>
  </r>
  <r>
    <n v="908"/>
    <n v="29"/>
    <n v="12"/>
    <n v="2023"/>
    <s v="Friday"/>
    <s v="Dec"/>
    <d v="2023-12-29T00:00:00"/>
    <s v="CUST908"/>
    <x v="0"/>
    <x v="0"/>
    <n v="46"/>
    <x v="0"/>
    <n v="4"/>
    <n v="300"/>
    <n v="1200"/>
    <n v="18"/>
    <n v="24"/>
  </r>
  <r>
    <n v="909"/>
    <n v="1"/>
    <n v="10"/>
    <n v="2023"/>
    <s v="Sunday"/>
    <s v="Oct"/>
    <d v="2023-10-01T00:00:00"/>
    <s v="CUST909"/>
    <x v="0"/>
    <x v="1"/>
    <n v="26"/>
    <x v="2"/>
    <n v="1"/>
    <n v="300"/>
    <n v="300"/>
    <n v="4.5"/>
    <n v="6"/>
  </r>
  <r>
    <n v="910"/>
    <n v="6"/>
    <n v="3"/>
    <n v="2023"/>
    <s v="Monday"/>
    <s v="Mar"/>
    <d v="2023-03-06T00:00:00"/>
    <s v="CUST910"/>
    <x v="1"/>
    <x v="1"/>
    <n v="20"/>
    <x v="0"/>
    <n v="3"/>
    <n v="50"/>
    <n v="150"/>
    <n v="2.25"/>
    <n v="3"/>
  </r>
  <r>
    <n v="911"/>
    <n v="21"/>
    <n v="5"/>
    <n v="2023"/>
    <s v="Sunday"/>
    <s v="May"/>
    <d v="2023-05-21T00:00:00"/>
    <s v="CUST911"/>
    <x v="0"/>
    <x v="0"/>
    <n v="42"/>
    <x v="2"/>
    <n v="3"/>
    <n v="300"/>
    <n v="900"/>
    <n v="13.5"/>
    <n v="18"/>
  </r>
  <r>
    <n v="912"/>
    <n v="24"/>
    <n v="1"/>
    <n v="2023"/>
    <s v="Tuesday"/>
    <s v="Jan"/>
    <d v="2023-01-24T00:00:00"/>
    <s v="CUST912"/>
    <x v="0"/>
    <x v="2"/>
    <n v="51"/>
    <x v="0"/>
    <n v="3"/>
    <n v="50"/>
    <n v="150"/>
    <n v="2.25"/>
    <n v="3"/>
  </r>
  <r>
    <n v="913"/>
    <n v="28"/>
    <n v="1"/>
    <n v="2023"/>
    <s v="Saturday"/>
    <s v="Jan"/>
    <d v="2023-01-28T00:00:00"/>
    <s v="CUST913"/>
    <x v="0"/>
    <x v="1"/>
    <n v="29"/>
    <x v="2"/>
    <n v="3"/>
    <n v="30"/>
    <n v="90"/>
    <n v="1.3499999999999999"/>
    <n v="1.8"/>
  </r>
  <r>
    <n v="914"/>
    <n v="11"/>
    <n v="10"/>
    <n v="2023"/>
    <s v="Wednesday"/>
    <s v="Oct"/>
    <d v="2023-10-11T00:00:00"/>
    <s v="CUST914"/>
    <x v="1"/>
    <x v="2"/>
    <n v="59"/>
    <x v="2"/>
    <n v="1"/>
    <n v="500"/>
    <n v="500"/>
    <n v="7.5"/>
    <n v="10"/>
  </r>
  <r>
    <n v="915"/>
    <n v="30"/>
    <n v="5"/>
    <n v="2023"/>
    <s v="Tuesday"/>
    <s v="May"/>
    <d v="2023-05-30T00:00:00"/>
    <s v="CUST915"/>
    <x v="1"/>
    <x v="1"/>
    <n v="26"/>
    <x v="0"/>
    <n v="3"/>
    <n v="30"/>
    <n v="90"/>
    <n v="1.3499999999999999"/>
    <n v="1.8"/>
  </r>
  <r>
    <n v="916"/>
    <n v="24"/>
    <n v="12"/>
    <n v="2023"/>
    <s v="Sunday"/>
    <s v="Dec"/>
    <d v="2023-12-24T00:00:00"/>
    <s v="CUST916"/>
    <x v="1"/>
    <x v="0"/>
    <n v="32"/>
    <x v="2"/>
    <n v="1"/>
    <n v="50"/>
    <n v="50"/>
    <n v="0.75"/>
    <n v="1"/>
  </r>
  <r>
    <n v="917"/>
    <n v="6"/>
    <n v="3"/>
    <n v="2023"/>
    <s v="Monday"/>
    <s v="Mar"/>
    <d v="2023-03-06T00:00:00"/>
    <s v="CUST917"/>
    <x v="1"/>
    <x v="2"/>
    <n v="57"/>
    <x v="2"/>
    <n v="4"/>
    <n v="50"/>
    <n v="200"/>
    <n v="3"/>
    <n v="4"/>
  </r>
  <r>
    <n v="918"/>
    <n v="23"/>
    <n v="11"/>
    <n v="2023"/>
    <s v="Thursday"/>
    <s v="Nov"/>
    <d v="2023-11-23T00:00:00"/>
    <s v="CUST918"/>
    <x v="1"/>
    <x v="0"/>
    <n v="42"/>
    <x v="2"/>
    <n v="3"/>
    <n v="30"/>
    <n v="90"/>
    <n v="1.3499999999999999"/>
    <n v="1.8"/>
  </r>
  <r>
    <n v="919"/>
    <n v="9"/>
    <n v="9"/>
    <n v="2023"/>
    <s v="Saturday"/>
    <s v="Sep"/>
    <d v="2023-09-09T00:00:00"/>
    <s v="CUST919"/>
    <x v="1"/>
    <x v="1"/>
    <n v="22"/>
    <x v="0"/>
    <n v="2"/>
    <n v="25"/>
    <n v="50"/>
    <n v="0.75"/>
    <n v="1"/>
  </r>
  <r>
    <n v="920"/>
    <n v="22"/>
    <n v="2"/>
    <n v="2023"/>
    <s v="Wednesday"/>
    <s v="Feb"/>
    <d v="2023-02-22T00:00:00"/>
    <s v="CUST920"/>
    <x v="1"/>
    <x v="1"/>
    <n v="28"/>
    <x v="0"/>
    <n v="3"/>
    <n v="25"/>
    <n v="75"/>
    <n v="1.125"/>
    <n v="1.5"/>
  </r>
  <r>
    <n v="921"/>
    <n v="7"/>
    <n v="1"/>
    <n v="2023"/>
    <s v="Saturday"/>
    <s v="Jan"/>
    <d v="2023-01-07T00:00:00"/>
    <s v="CUST921"/>
    <x v="0"/>
    <x v="2"/>
    <n v="51"/>
    <x v="2"/>
    <n v="3"/>
    <n v="25"/>
    <n v="75"/>
    <n v="1.125"/>
    <n v="1.5"/>
  </r>
  <r>
    <n v="922"/>
    <n v="21"/>
    <n v="10"/>
    <n v="2023"/>
    <s v="Saturday"/>
    <s v="Oct"/>
    <d v="2023-10-21T00:00:00"/>
    <s v="CUST922"/>
    <x v="0"/>
    <x v="0"/>
    <n v="41"/>
    <x v="2"/>
    <n v="1"/>
    <n v="50"/>
    <n v="50"/>
    <n v="0.75"/>
    <n v="1"/>
  </r>
  <r>
    <n v="923"/>
    <n v="26"/>
    <n v="5"/>
    <n v="2023"/>
    <s v="Friday"/>
    <s v="May"/>
    <d v="2023-05-26T00:00:00"/>
    <s v="CUST923"/>
    <x v="0"/>
    <x v="0"/>
    <n v="32"/>
    <x v="0"/>
    <n v="3"/>
    <n v="300"/>
    <n v="900"/>
    <n v="13.5"/>
    <n v="18"/>
  </r>
  <r>
    <n v="924"/>
    <n v="29"/>
    <n v="8"/>
    <n v="2023"/>
    <s v="Tuesday"/>
    <s v="Aug"/>
    <d v="2023-08-29T00:00:00"/>
    <s v="CUST924"/>
    <x v="0"/>
    <x v="2"/>
    <n v="55"/>
    <x v="0"/>
    <n v="2"/>
    <n v="50"/>
    <n v="100"/>
    <n v="1.5"/>
    <n v="2"/>
  </r>
  <r>
    <n v="925"/>
    <n v="3"/>
    <n v="9"/>
    <n v="2023"/>
    <s v="Sunday"/>
    <s v="Sep"/>
    <d v="2023-09-03T00:00:00"/>
    <s v="CUST925"/>
    <x v="0"/>
    <x v="1"/>
    <n v="25"/>
    <x v="2"/>
    <n v="1"/>
    <n v="300"/>
    <n v="300"/>
    <n v="4.5"/>
    <n v="6"/>
  </r>
  <r>
    <n v="926"/>
    <n v="14"/>
    <n v="8"/>
    <n v="2023"/>
    <s v="Monday"/>
    <s v="Aug"/>
    <d v="2023-08-14T00:00:00"/>
    <s v="CUST926"/>
    <x v="0"/>
    <x v="1"/>
    <n v="22"/>
    <x v="2"/>
    <n v="1"/>
    <n v="30"/>
    <n v="30"/>
    <n v="0.44999999999999996"/>
    <n v="0.6"/>
  </r>
  <r>
    <n v="927"/>
    <n v="24"/>
    <n v="6"/>
    <n v="2023"/>
    <s v="Saturday"/>
    <s v="Jun"/>
    <d v="2023-06-24T00:00:00"/>
    <s v="CUST927"/>
    <x v="0"/>
    <x v="0"/>
    <n v="43"/>
    <x v="2"/>
    <n v="4"/>
    <n v="500"/>
    <n v="2000"/>
    <n v="30"/>
    <n v="40"/>
  </r>
  <r>
    <n v="928"/>
    <n v="5"/>
    <n v="4"/>
    <n v="2023"/>
    <s v="Wednesday"/>
    <s v="Apr"/>
    <d v="2023-04-05T00:00:00"/>
    <s v="CUST928"/>
    <x v="1"/>
    <x v="0"/>
    <n v="35"/>
    <x v="1"/>
    <n v="4"/>
    <n v="300"/>
    <n v="1200"/>
    <n v="18"/>
    <n v="24"/>
  </r>
  <r>
    <n v="929"/>
    <n v="27"/>
    <n v="1"/>
    <n v="2023"/>
    <s v="Friday"/>
    <s v="Jan"/>
    <d v="2023-01-27T00:00:00"/>
    <s v="CUST929"/>
    <x v="1"/>
    <x v="1"/>
    <n v="23"/>
    <x v="0"/>
    <n v="3"/>
    <n v="25"/>
    <n v="75"/>
    <n v="1.125"/>
    <n v="1.5"/>
  </r>
  <r>
    <n v="930"/>
    <n v="10"/>
    <n v="5"/>
    <n v="2023"/>
    <s v="Wednesday"/>
    <s v="May"/>
    <d v="2023-05-10T00:00:00"/>
    <s v="CUST930"/>
    <x v="0"/>
    <x v="2"/>
    <n v="54"/>
    <x v="1"/>
    <n v="4"/>
    <n v="50"/>
    <n v="200"/>
    <n v="3"/>
    <n v="4"/>
  </r>
  <r>
    <n v="931"/>
    <n v="2"/>
    <n v="9"/>
    <n v="2023"/>
    <s v="Saturday"/>
    <s v="Sep"/>
    <d v="2023-09-02T00:00:00"/>
    <s v="CUST931"/>
    <x v="0"/>
    <x v="0"/>
    <n v="30"/>
    <x v="0"/>
    <n v="4"/>
    <n v="30"/>
    <n v="120"/>
    <n v="1.7999999999999998"/>
    <n v="2.4"/>
  </r>
  <r>
    <n v="932"/>
    <n v="28"/>
    <n v="2"/>
    <n v="2023"/>
    <s v="Tuesday"/>
    <s v="Feb"/>
    <d v="2023-02-28T00:00:00"/>
    <s v="CUST932"/>
    <x v="1"/>
    <x v="0"/>
    <n v="45"/>
    <x v="0"/>
    <n v="4"/>
    <n v="25"/>
    <n v="100"/>
    <n v="1.5"/>
    <n v="2"/>
  </r>
  <r>
    <n v="933"/>
    <n v="3"/>
    <n v="2"/>
    <n v="2023"/>
    <s v="Friday"/>
    <s v="Feb"/>
    <d v="2023-02-03T00:00:00"/>
    <s v="CUST933"/>
    <x v="0"/>
    <x v="1"/>
    <n v="22"/>
    <x v="0"/>
    <n v="1"/>
    <n v="30"/>
    <n v="30"/>
    <n v="0.44999999999999996"/>
    <n v="0.6"/>
  </r>
  <r>
    <n v="934"/>
    <n v="25"/>
    <n v="7"/>
    <n v="2023"/>
    <s v="Tuesday"/>
    <s v="Jul"/>
    <d v="2023-07-25T00:00:00"/>
    <s v="CUST934"/>
    <x v="0"/>
    <x v="0"/>
    <n v="30"/>
    <x v="0"/>
    <n v="1"/>
    <n v="500"/>
    <n v="500"/>
    <n v="7.5"/>
    <n v="10"/>
  </r>
  <r>
    <n v="935"/>
    <n v="9"/>
    <n v="9"/>
    <n v="2023"/>
    <s v="Saturday"/>
    <s v="Sep"/>
    <d v="2023-09-09T00:00:00"/>
    <s v="CUST935"/>
    <x v="1"/>
    <x v="0"/>
    <n v="34"/>
    <x v="0"/>
    <n v="1"/>
    <n v="50"/>
    <n v="50"/>
    <n v="0.75"/>
    <n v="1"/>
  </r>
  <r>
    <n v="936"/>
    <n v="7"/>
    <n v="2"/>
    <n v="2023"/>
    <s v="Tuesday"/>
    <s v="Feb"/>
    <d v="2023-02-07T00:00:00"/>
    <s v="CUST936"/>
    <x v="0"/>
    <x v="2"/>
    <n v="57"/>
    <x v="0"/>
    <n v="4"/>
    <n v="50"/>
    <n v="200"/>
    <n v="3"/>
    <n v="4"/>
  </r>
  <r>
    <n v="937"/>
    <n v="23"/>
    <n v="10"/>
    <n v="2023"/>
    <s v="Monday"/>
    <s v="Oct"/>
    <d v="2023-10-23T00:00:00"/>
    <s v="CUST937"/>
    <x v="1"/>
    <x v="2"/>
    <n v="62"/>
    <x v="0"/>
    <n v="1"/>
    <n v="500"/>
    <n v="500"/>
    <n v="7.5"/>
    <n v="10"/>
  </r>
  <r>
    <n v="938"/>
    <n v="19"/>
    <n v="11"/>
    <n v="2023"/>
    <s v="Sunday"/>
    <s v="Nov"/>
    <d v="2023-11-19T00:00:00"/>
    <s v="CUST938"/>
    <x v="0"/>
    <x v="0"/>
    <n v="49"/>
    <x v="1"/>
    <n v="4"/>
    <n v="50"/>
    <n v="200"/>
    <n v="3"/>
    <n v="4"/>
  </r>
  <r>
    <n v="939"/>
    <n v="18"/>
    <n v="12"/>
    <n v="2023"/>
    <s v="Monday"/>
    <s v="Dec"/>
    <d v="2023-12-18T00:00:00"/>
    <s v="CUST939"/>
    <x v="1"/>
    <x v="0"/>
    <n v="46"/>
    <x v="2"/>
    <n v="1"/>
    <n v="300"/>
    <n v="300"/>
    <n v="4.5"/>
    <n v="6"/>
  </r>
  <r>
    <n v="940"/>
    <n v="28"/>
    <n v="1"/>
    <n v="2023"/>
    <s v="Saturday"/>
    <s v="Jan"/>
    <d v="2023-01-28T00:00:00"/>
    <s v="CUST940"/>
    <x v="1"/>
    <x v="1"/>
    <n v="20"/>
    <x v="2"/>
    <n v="1"/>
    <n v="30"/>
    <n v="30"/>
    <n v="0.44999999999999996"/>
    <n v="0.6"/>
  </r>
  <r>
    <n v="941"/>
    <n v="19"/>
    <n v="3"/>
    <n v="2023"/>
    <s v="Sunday"/>
    <s v="Mar"/>
    <d v="2023-03-19T00:00:00"/>
    <s v="CUST941"/>
    <x v="1"/>
    <x v="2"/>
    <n v="57"/>
    <x v="1"/>
    <n v="2"/>
    <n v="25"/>
    <n v="50"/>
    <n v="0.75"/>
    <n v="1"/>
  </r>
  <r>
    <n v="942"/>
    <n v="18"/>
    <n v="3"/>
    <n v="2023"/>
    <s v="Saturday"/>
    <s v="Mar"/>
    <d v="2023-03-18T00:00:00"/>
    <s v="CUST942"/>
    <x v="0"/>
    <x v="2"/>
    <n v="51"/>
    <x v="1"/>
    <n v="3"/>
    <n v="500"/>
    <n v="1500"/>
    <n v="22.5"/>
    <n v="30"/>
  </r>
  <r>
    <n v="943"/>
    <n v="16"/>
    <n v="10"/>
    <n v="2023"/>
    <s v="Monday"/>
    <s v="Oct"/>
    <d v="2023-10-16T00:00:00"/>
    <s v="CUST943"/>
    <x v="1"/>
    <x v="2"/>
    <n v="57"/>
    <x v="1"/>
    <n v="4"/>
    <n v="300"/>
    <n v="1200"/>
    <n v="18"/>
    <n v="24"/>
  </r>
  <r>
    <n v="944"/>
    <n v="5"/>
    <n v="6"/>
    <n v="2023"/>
    <s v="Monday"/>
    <s v="Jun"/>
    <d v="2023-06-05T00:00:00"/>
    <s v="CUST944"/>
    <x v="0"/>
    <x v="0"/>
    <n v="44"/>
    <x v="1"/>
    <n v="2"/>
    <n v="25"/>
    <n v="50"/>
    <n v="0.75"/>
    <n v="1"/>
  </r>
  <r>
    <n v="945"/>
    <n v="13"/>
    <n v="2"/>
    <n v="2023"/>
    <s v="Monday"/>
    <s v="Feb"/>
    <d v="2023-02-13T00:00:00"/>
    <s v="CUST945"/>
    <x v="0"/>
    <x v="0"/>
    <n v="30"/>
    <x v="0"/>
    <n v="1"/>
    <n v="25"/>
    <n v="25"/>
    <n v="0.375"/>
    <n v="0.5"/>
  </r>
  <r>
    <n v="946"/>
    <n v="8"/>
    <n v="5"/>
    <n v="2023"/>
    <s v="Monday"/>
    <s v="May"/>
    <d v="2023-05-08T00:00:00"/>
    <s v="CUST946"/>
    <x v="0"/>
    <x v="2"/>
    <n v="62"/>
    <x v="2"/>
    <n v="4"/>
    <n v="500"/>
    <n v="2000"/>
    <n v="30"/>
    <n v="40"/>
  </r>
  <r>
    <n v="947"/>
    <n v="2"/>
    <n v="3"/>
    <n v="2023"/>
    <s v="Thursday"/>
    <s v="Mar"/>
    <d v="2023-03-02T00:00:00"/>
    <s v="CUST947"/>
    <x v="0"/>
    <x v="0"/>
    <n v="50"/>
    <x v="0"/>
    <n v="1"/>
    <n v="300"/>
    <n v="300"/>
    <n v="4.5"/>
    <n v="6"/>
  </r>
  <r>
    <n v="948"/>
    <n v="13"/>
    <n v="10"/>
    <n v="2023"/>
    <s v="Friday"/>
    <s v="Oct"/>
    <d v="2023-10-13T00:00:00"/>
    <s v="CUST948"/>
    <x v="1"/>
    <x v="1"/>
    <n v="23"/>
    <x v="2"/>
    <n v="3"/>
    <n v="25"/>
    <n v="75"/>
    <n v="1.125"/>
    <n v="1.5"/>
  </r>
  <r>
    <n v="949"/>
    <n v="2"/>
    <n v="8"/>
    <n v="2023"/>
    <s v="Wednesday"/>
    <s v="Aug"/>
    <d v="2023-08-02T00:00:00"/>
    <s v="CUST949"/>
    <x v="1"/>
    <x v="0"/>
    <n v="41"/>
    <x v="2"/>
    <n v="2"/>
    <n v="25"/>
    <n v="50"/>
    <n v="0.75"/>
    <n v="1"/>
  </r>
  <r>
    <n v="950"/>
    <n v="7"/>
    <n v="11"/>
    <n v="2023"/>
    <s v="Tuesday"/>
    <s v="Nov"/>
    <d v="2023-11-07T00:00:00"/>
    <s v="CUST950"/>
    <x v="0"/>
    <x v="0"/>
    <n v="36"/>
    <x v="1"/>
    <n v="3"/>
    <n v="300"/>
    <n v="900"/>
    <n v="13.5"/>
    <n v="18"/>
  </r>
  <r>
    <n v="951"/>
    <n v="2"/>
    <n v="11"/>
    <n v="2023"/>
    <s v="Thursday"/>
    <s v="Nov"/>
    <d v="2023-11-02T00:00:00"/>
    <s v="CUST951"/>
    <x v="0"/>
    <x v="0"/>
    <n v="33"/>
    <x v="0"/>
    <n v="2"/>
    <n v="50"/>
    <n v="100"/>
    <n v="1.5"/>
    <n v="2"/>
  </r>
  <r>
    <n v="952"/>
    <n v="13"/>
    <n v="11"/>
    <n v="2023"/>
    <s v="Monday"/>
    <s v="Nov"/>
    <d v="2023-11-13T00:00:00"/>
    <s v="CUST952"/>
    <x v="1"/>
    <x v="2"/>
    <n v="57"/>
    <x v="1"/>
    <n v="1"/>
    <n v="25"/>
    <n v="25"/>
    <n v="0.375"/>
    <n v="0.5"/>
  </r>
  <r>
    <n v="953"/>
    <n v="26"/>
    <n v="4"/>
    <n v="2023"/>
    <s v="Wednesday"/>
    <s v="Apr"/>
    <d v="2023-04-26T00:00:00"/>
    <s v="CUST953"/>
    <x v="0"/>
    <x v="0"/>
    <n v="45"/>
    <x v="0"/>
    <n v="3"/>
    <n v="30"/>
    <n v="90"/>
    <n v="1.3499999999999999"/>
    <n v="1.8"/>
  </r>
  <r>
    <n v="954"/>
    <n v="25"/>
    <n v="9"/>
    <n v="2023"/>
    <s v="Monday"/>
    <s v="Sep"/>
    <d v="2023-09-25T00:00:00"/>
    <s v="CUST954"/>
    <x v="1"/>
    <x v="0"/>
    <n v="50"/>
    <x v="2"/>
    <n v="3"/>
    <n v="300"/>
    <n v="900"/>
    <n v="13.5"/>
    <n v="18"/>
  </r>
  <r>
    <n v="955"/>
    <n v="14"/>
    <n v="7"/>
    <n v="2023"/>
    <s v="Friday"/>
    <s v="Jul"/>
    <d v="2023-07-14T00:00:00"/>
    <s v="CUST955"/>
    <x v="0"/>
    <x v="2"/>
    <n v="58"/>
    <x v="1"/>
    <n v="1"/>
    <n v="25"/>
    <n v="25"/>
    <n v="0.375"/>
    <n v="0.5"/>
  </r>
  <r>
    <n v="956"/>
    <n v="19"/>
    <n v="8"/>
    <n v="2023"/>
    <s v="Saturday"/>
    <s v="Aug"/>
    <d v="2023-08-19T00:00:00"/>
    <s v="CUST956"/>
    <x v="0"/>
    <x v="0"/>
    <n v="30"/>
    <x v="1"/>
    <n v="3"/>
    <n v="500"/>
    <n v="1500"/>
    <n v="22.5"/>
    <n v="30"/>
  </r>
  <r>
    <n v="957"/>
    <n v="15"/>
    <n v="8"/>
    <n v="2023"/>
    <s v="Tuesday"/>
    <s v="Aug"/>
    <d v="2023-08-15T00:00:00"/>
    <s v="CUST957"/>
    <x v="1"/>
    <x v="2"/>
    <n v="60"/>
    <x v="2"/>
    <n v="4"/>
    <n v="30"/>
    <n v="120"/>
    <n v="1.7999999999999998"/>
    <n v="2.4"/>
  </r>
  <r>
    <n v="958"/>
    <n v="2"/>
    <n v="6"/>
    <n v="2023"/>
    <s v="Friday"/>
    <s v="Jun"/>
    <d v="2023-06-02T00:00:00"/>
    <s v="CUST958"/>
    <x v="0"/>
    <x v="2"/>
    <n v="62"/>
    <x v="2"/>
    <n v="2"/>
    <n v="25"/>
    <n v="50"/>
    <n v="0.75"/>
    <n v="1"/>
  </r>
  <r>
    <n v="959"/>
    <n v="29"/>
    <n v="10"/>
    <n v="2023"/>
    <s v="Sunday"/>
    <s v="Oct"/>
    <d v="2023-10-29T00:00:00"/>
    <s v="CUST959"/>
    <x v="1"/>
    <x v="0"/>
    <n v="42"/>
    <x v="2"/>
    <n v="2"/>
    <n v="30"/>
    <n v="60"/>
    <n v="0.89999999999999991"/>
    <n v="1.2"/>
  </r>
  <r>
    <n v="960"/>
    <n v="8"/>
    <n v="8"/>
    <n v="2023"/>
    <s v="Tuesday"/>
    <s v="Aug"/>
    <d v="2023-08-08T00:00:00"/>
    <s v="CUST960"/>
    <x v="0"/>
    <x v="2"/>
    <n v="59"/>
    <x v="1"/>
    <n v="2"/>
    <n v="30"/>
    <n v="60"/>
    <n v="0.89999999999999991"/>
    <n v="1.2"/>
  </r>
  <r>
    <n v="961"/>
    <n v="6"/>
    <n v="6"/>
    <n v="2023"/>
    <s v="Tuesday"/>
    <s v="Jun"/>
    <d v="2023-06-06T00:00:00"/>
    <s v="CUST961"/>
    <x v="0"/>
    <x v="2"/>
    <n v="53"/>
    <x v="0"/>
    <n v="4"/>
    <n v="50"/>
    <n v="200"/>
    <n v="3"/>
    <n v="4"/>
  </r>
  <r>
    <n v="962"/>
    <n v="19"/>
    <n v="10"/>
    <n v="2023"/>
    <s v="Thursday"/>
    <s v="Oct"/>
    <d v="2023-10-19T00:00:00"/>
    <s v="CUST962"/>
    <x v="0"/>
    <x v="0"/>
    <n v="44"/>
    <x v="1"/>
    <n v="2"/>
    <n v="30"/>
    <n v="60"/>
    <n v="0.89999999999999991"/>
    <n v="1.2"/>
  </r>
  <r>
    <n v="963"/>
    <n v="14"/>
    <n v="11"/>
    <n v="2023"/>
    <s v="Tuesday"/>
    <s v="Nov"/>
    <d v="2023-11-14T00:00:00"/>
    <s v="CUST963"/>
    <x v="1"/>
    <x v="2"/>
    <n v="55"/>
    <x v="0"/>
    <n v="1"/>
    <n v="50"/>
    <n v="50"/>
    <n v="0.75"/>
    <n v="1"/>
  </r>
  <r>
    <n v="964"/>
    <n v="31"/>
    <n v="1"/>
    <n v="2023"/>
    <s v="Tuesday"/>
    <s v="Jan"/>
    <d v="2023-01-31T00:00:00"/>
    <s v="CUST964"/>
    <x v="0"/>
    <x v="1"/>
    <n v="24"/>
    <x v="1"/>
    <n v="3"/>
    <n v="300"/>
    <n v="900"/>
    <n v="13.5"/>
    <n v="18"/>
  </r>
  <r>
    <n v="965"/>
    <n v="9"/>
    <n v="11"/>
    <n v="2023"/>
    <s v="Thursday"/>
    <s v="Nov"/>
    <d v="2023-11-09T00:00:00"/>
    <s v="CUST965"/>
    <x v="0"/>
    <x v="1"/>
    <n v="22"/>
    <x v="1"/>
    <n v="4"/>
    <n v="50"/>
    <n v="200"/>
    <n v="3"/>
    <n v="4"/>
  </r>
  <r>
    <n v="966"/>
    <n v="20"/>
    <n v="2"/>
    <n v="2023"/>
    <s v="Monday"/>
    <s v="Feb"/>
    <d v="2023-02-20T00:00:00"/>
    <s v="CUST966"/>
    <x v="0"/>
    <x v="2"/>
    <n v="60"/>
    <x v="2"/>
    <n v="2"/>
    <n v="500"/>
    <n v="1000"/>
    <n v="15"/>
    <n v="20"/>
  </r>
  <r>
    <n v="967"/>
    <n v="17"/>
    <n v="4"/>
    <n v="2023"/>
    <s v="Monday"/>
    <s v="Apr"/>
    <d v="2023-04-17T00:00:00"/>
    <s v="CUST967"/>
    <x v="0"/>
    <x v="2"/>
    <n v="62"/>
    <x v="0"/>
    <n v="1"/>
    <n v="25"/>
    <n v="25"/>
    <n v="0.375"/>
    <n v="0.5"/>
  </r>
  <r>
    <n v="968"/>
    <n v="17"/>
    <n v="11"/>
    <n v="2023"/>
    <s v="Friday"/>
    <s v="Nov"/>
    <d v="2023-11-17T00:00:00"/>
    <s v="CUST968"/>
    <x v="1"/>
    <x v="0"/>
    <n v="48"/>
    <x v="1"/>
    <n v="3"/>
    <n v="300"/>
    <n v="900"/>
    <n v="13.5"/>
    <n v="18"/>
  </r>
  <r>
    <n v="969"/>
    <n v="19"/>
    <n v="4"/>
    <n v="2023"/>
    <s v="Wednesday"/>
    <s v="Apr"/>
    <d v="2023-04-19T00:00:00"/>
    <s v="CUST969"/>
    <x v="1"/>
    <x v="0"/>
    <n v="40"/>
    <x v="1"/>
    <n v="3"/>
    <n v="300"/>
    <n v="900"/>
    <n v="13.5"/>
    <n v="18"/>
  </r>
  <r>
    <n v="970"/>
    <n v="16"/>
    <n v="5"/>
    <n v="2023"/>
    <s v="Tuesday"/>
    <s v="May"/>
    <d v="2023-05-16T00:00:00"/>
    <s v="CUST970"/>
    <x v="0"/>
    <x v="2"/>
    <n v="59"/>
    <x v="2"/>
    <n v="4"/>
    <n v="500"/>
    <n v="2000"/>
    <n v="30"/>
    <n v="40"/>
  </r>
  <r>
    <n v="971"/>
    <n v="5"/>
    <n v="12"/>
    <n v="2023"/>
    <s v="Tuesday"/>
    <s v="Dec"/>
    <d v="2023-12-05T00:00:00"/>
    <s v="CUST971"/>
    <x v="1"/>
    <x v="1"/>
    <n v="27"/>
    <x v="2"/>
    <n v="4"/>
    <n v="50"/>
    <n v="200"/>
    <n v="3"/>
    <n v="4"/>
  </r>
  <r>
    <n v="972"/>
    <n v="11"/>
    <n v="2"/>
    <n v="2023"/>
    <s v="Saturday"/>
    <s v="Feb"/>
    <d v="2023-02-11T00:00:00"/>
    <s v="CUST972"/>
    <x v="0"/>
    <x v="0"/>
    <n v="49"/>
    <x v="0"/>
    <n v="4"/>
    <n v="25"/>
    <n v="100"/>
    <n v="1.5"/>
    <n v="2"/>
  </r>
  <r>
    <n v="973"/>
    <n v="22"/>
    <n v="3"/>
    <n v="2023"/>
    <s v="Wednesday"/>
    <s v="Mar"/>
    <d v="2023-03-22T00:00:00"/>
    <s v="CUST973"/>
    <x v="0"/>
    <x v="2"/>
    <n v="60"/>
    <x v="1"/>
    <n v="1"/>
    <n v="50"/>
    <n v="50"/>
    <n v="0.75"/>
    <n v="1"/>
  </r>
  <r>
    <n v="974"/>
    <n v="3"/>
    <n v="5"/>
    <n v="2023"/>
    <s v="Wednesday"/>
    <s v="May"/>
    <d v="2023-05-03T00:00:00"/>
    <s v="CUST974"/>
    <x v="0"/>
    <x v="0"/>
    <n v="47"/>
    <x v="0"/>
    <n v="1"/>
    <n v="30"/>
    <n v="30"/>
    <n v="0.44999999999999996"/>
    <n v="0.6"/>
  </r>
  <r>
    <n v="975"/>
    <n v="30"/>
    <n v="3"/>
    <n v="2023"/>
    <s v="Thursday"/>
    <s v="Mar"/>
    <d v="2023-03-30T00:00:00"/>
    <s v="CUST975"/>
    <x v="1"/>
    <x v="2"/>
    <n v="56"/>
    <x v="1"/>
    <n v="4"/>
    <n v="50"/>
    <n v="200"/>
    <n v="3"/>
    <n v="4"/>
  </r>
  <r>
    <n v="976"/>
    <n v="10"/>
    <n v="10"/>
    <n v="2023"/>
    <s v="Tuesday"/>
    <s v="Oct"/>
    <d v="2023-10-10T00:00:00"/>
    <s v="CUST976"/>
    <x v="1"/>
    <x v="0"/>
    <n v="48"/>
    <x v="0"/>
    <n v="2"/>
    <n v="300"/>
    <n v="600"/>
    <n v="9"/>
    <n v="12"/>
  </r>
  <r>
    <n v="977"/>
    <n v="8"/>
    <n v="2"/>
    <n v="2023"/>
    <s v="Wednesday"/>
    <s v="Feb"/>
    <d v="2023-02-08T00:00:00"/>
    <s v="CUST977"/>
    <x v="1"/>
    <x v="0"/>
    <n v="35"/>
    <x v="2"/>
    <n v="3"/>
    <n v="25"/>
    <n v="75"/>
    <n v="1.125"/>
    <n v="1.5"/>
  </r>
  <r>
    <n v="978"/>
    <n v="22"/>
    <n v="3"/>
    <n v="2023"/>
    <s v="Wednesday"/>
    <s v="Mar"/>
    <d v="2023-03-22T00:00:00"/>
    <s v="CUST978"/>
    <x v="1"/>
    <x v="2"/>
    <n v="53"/>
    <x v="1"/>
    <n v="3"/>
    <n v="50"/>
    <n v="150"/>
    <n v="2.25"/>
    <n v="3"/>
  </r>
  <r>
    <n v="979"/>
    <n v="2"/>
    <n v="1"/>
    <n v="2023"/>
    <s v="Monday"/>
    <s v="Jan"/>
    <d v="2023-01-02T00:00:00"/>
    <s v="CUST979"/>
    <x v="1"/>
    <x v="1"/>
    <n v="19"/>
    <x v="0"/>
    <n v="1"/>
    <n v="25"/>
    <n v="25"/>
    <n v="0.375"/>
    <n v="0.5"/>
  </r>
  <r>
    <n v="980"/>
    <n v="29"/>
    <n v="7"/>
    <n v="2023"/>
    <s v="Saturday"/>
    <s v="Jul"/>
    <d v="2023-07-29T00:00:00"/>
    <s v="CUST980"/>
    <x v="1"/>
    <x v="0"/>
    <n v="31"/>
    <x v="2"/>
    <n v="3"/>
    <n v="25"/>
    <n v="75"/>
    <n v="1.125"/>
    <n v="1.5"/>
  </r>
  <r>
    <n v="981"/>
    <n v="19"/>
    <n v="8"/>
    <n v="2023"/>
    <s v="Saturday"/>
    <s v="Aug"/>
    <d v="2023-08-19T00:00:00"/>
    <s v="CUST981"/>
    <x v="1"/>
    <x v="0"/>
    <n v="30"/>
    <x v="2"/>
    <n v="2"/>
    <n v="30"/>
    <n v="60"/>
    <n v="0.89999999999999991"/>
    <n v="1.2"/>
  </r>
  <r>
    <n v="982"/>
    <n v="19"/>
    <n v="12"/>
    <n v="2023"/>
    <s v="Tuesday"/>
    <s v="Dec"/>
    <d v="2023-12-19T00:00:00"/>
    <s v="CUST982"/>
    <x v="1"/>
    <x v="0"/>
    <n v="46"/>
    <x v="0"/>
    <n v="3"/>
    <n v="30"/>
    <n v="90"/>
    <n v="1.3499999999999999"/>
    <n v="1.8"/>
  </r>
  <r>
    <n v="983"/>
    <n v="1"/>
    <n v="11"/>
    <n v="2023"/>
    <s v="Wednesday"/>
    <s v="Nov"/>
    <d v="2023-11-01T00:00:00"/>
    <s v="CUST983"/>
    <x v="1"/>
    <x v="1"/>
    <n v="29"/>
    <x v="1"/>
    <n v="1"/>
    <n v="300"/>
    <n v="300"/>
    <n v="4.5"/>
    <n v="6"/>
  </r>
  <r>
    <n v="984"/>
    <n v="29"/>
    <n v="8"/>
    <n v="2023"/>
    <s v="Tuesday"/>
    <s v="Aug"/>
    <d v="2023-08-29T00:00:00"/>
    <s v="CUST984"/>
    <x v="0"/>
    <x v="2"/>
    <n v="56"/>
    <x v="1"/>
    <n v="1"/>
    <n v="500"/>
    <n v="500"/>
    <n v="7.5"/>
    <n v="10"/>
  </r>
  <r>
    <n v="985"/>
    <n v="30"/>
    <n v="5"/>
    <n v="2023"/>
    <s v="Tuesday"/>
    <s v="May"/>
    <d v="2023-05-30T00:00:00"/>
    <s v="CUST985"/>
    <x v="1"/>
    <x v="1"/>
    <n v="19"/>
    <x v="2"/>
    <n v="2"/>
    <n v="25"/>
    <n v="50"/>
    <n v="0.75"/>
    <n v="1"/>
  </r>
  <r>
    <n v="986"/>
    <n v="17"/>
    <n v="1"/>
    <n v="2023"/>
    <s v="Tuesday"/>
    <s v="Jan"/>
    <d v="2023-01-17T00:00:00"/>
    <s v="CUST986"/>
    <x v="1"/>
    <x v="0"/>
    <n v="49"/>
    <x v="1"/>
    <n v="2"/>
    <n v="500"/>
    <n v="1000"/>
    <n v="15"/>
    <n v="20"/>
  </r>
  <r>
    <n v="987"/>
    <n v="29"/>
    <n v="4"/>
    <n v="2023"/>
    <s v="Saturday"/>
    <s v="Apr"/>
    <d v="2023-04-29T00:00:00"/>
    <s v="CUST987"/>
    <x v="1"/>
    <x v="0"/>
    <n v="30"/>
    <x v="1"/>
    <n v="3"/>
    <n v="300"/>
    <n v="900"/>
    <n v="13.5"/>
    <n v="18"/>
  </r>
  <r>
    <n v="988"/>
    <n v="28"/>
    <n v="5"/>
    <n v="2023"/>
    <s v="Sunday"/>
    <s v="May"/>
    <d v="2023-05-28T00:00:00"/>
    <s v="CUST988"/>
    <x v="1"/>
    <x v="2"/>
    <n v="63"/>
    <x v="1"/>
    <n v="3"/>
    <n v="25"/>
    <n v="75"/>
    <n v="1.125"/>
    <n v="1.5"/>
  </r>
  <r>
    <n v="989"/>
    <n v="28"/>
    <n v="12"/>
    <n v="2023"/>
    <s v="Thursday"/>
    <s v="Dec"/>
    <d v="2023-12-28T00:00:00"/>
    <s v="CUST989"/>
    <x v="1"/>
    <x v="0"/>
    <n v="44"/>
    <x v="2"/>
    <n v="1"/>
    <n v="25"/>
    <n v="25"/>
    <n v="0.375"/>
    <n v="0.5"/>
  </r>
  <r>
    <n v="990"/>
    <n v="25"/>
    <n v="5"/>
    <n v="2023"/>
    <s v="Thursday"/>
    <s v="May"/>
    <d v="2023-05-25T00:00:00"/>
    <s v="CUST990"/>
    <x v="1"/>
    <x v="2"/>
    <n v="58"/>
    <x v="0"/>
    <n v="2"/>
    <n v="500"/>
    <n v="1000"/>
    <n v="15"/>
    <n v="20"/>
  </r>
  <r>
    <n v="991"/>
    <n v="26"/>
    <n v="12"/>
    <n v="2023"/>
    <s v="Tuesday"/>
    <s v="Dec"/>
    <d v="2023-12-26T00:00:00"/>
    <s v="CUST991"/>
    <x v="1"/>
    <x v="0"/>
    <n v="34"/>
    <x v="1"/>
    <n v="2"/>
    <n v="50"/>
    <n v="100"/>
    <n v="1.5"/>
    <n v="2"/>
  </r>
  <r>
    <n v="992"/>
    <n v="21"/>
    <n v="8"/>
    <n v="2023"/>
    <s v="Monday"/>
    <s v="Aug"/>
    <d v="2023-08-21T00:00:00"/>
    <s v="CUST992"/>
    <x v="1"/>
    <x v="2"/>
    <n v="57"/>
    <x v="2"/>
    <n v="2"/>
    <n v="30"/>
    <n v="60"/>
    <n v="0.89999999999999991"/>
    <n v="1.2"/>
  </r>
  <r>
    <n v="993"/>
    <n v="6"/>
    <n v="2"/>
    <n v="2023"/>
    <s v="Monday"/>
    <s v="Feb"/>
    <d v="2023-02-06T00:00:00"/>
    <s v="CUST993"/>
    <x v="1"/>
    <x v="0"/>
    <n v="48"/>
    <x v="2"/>
    <n v="3"/>
    <n v="50"/>
    <n v="150"/>
    <n v="2.25"/>
    <n v="3"/>
  </r>
  <r>
    <n v="994"/>
    <n v="18"/>
    <n v="12"/>
    <n v="2023"/>
    <s v="Monday"/>
    <s v="Dec"/>
    <d v="2023-12-18T00:00:00"/>
    <s v="CUST994"/>
    <x v="1"/>
    <x v="2"/>
    <n v="51"/>
    <x v="0"/>
    <n v="2"/>
    <n v="500"/>
    <n v="1000"/>
    <n v="15"/>
    <n v="20"/>
  </r>
  <r>
    <n v="995"/>
    <n v="30"/>
    <n v="4"/>
    <n v="2023"/>
    <s v="Sunday"/>
    <s v="Apr"/>
    <d v="2023-04-30T00:00:00"/>
    <s v="CUST995"/>
    <x v="1"/>
    <x v="0"/>
    <n v="41"/>
    <x v="1"/>
    <n v="1"/>
    <n v="30"/>
    <n v="30"/>
    <n v="0.44999999999999996"/>
    <n v="0.6"/>
  </r>
  <r>
    <n v="996"/>
    <n v="16"/>
    <n v="5"/>
    <n v="2023"/>
    <s v="Tuesday"/>
    <s v="May"/>
    <d v="2023-05-16T00:00:00"/>
    <s v="CUST996"/>
    <x v="0"/>
    <x v="2"/>
    <n v="62"/>
    <x v="1"/>
    <n v="1"/>
    <n v="50"/>
    <n v="50"/>
    <n v="0.75"/>
    <n v="1"/>
  </r>
  <r>
    <n v="997"/>
    <n v="17"/>
    <n v="11"/>
    <n v="2023"/>
    <s v="Friday"/>
    <s v="Nov"/>
    <d v="2023-11-17T00:00:00"/>
    <s v="CUST997"/>
    <x v="0"/>
    <x v="2"/>
    <n v="52"/>
    <x v="0"/>
    <n v="3"/>
    <n v="30"/>
    <n v="90"/>
    <n v="1.3499999999999999"/>
    <n v="1.8"/>
  </r>
  <r>
    <n v="998"/>
    <n v="29"/>
    <n v="10"/>
    <n v="2023"/>
    <s v="Sunday"/>
    <s v="Oct"/>
    <d v="2023-10-29T00:00:00"/>
    <s v="CUST998"/>
    <x v="1"/>
    <x v="1"/>
    <n v="23"/>
    <x v="0"/>
    <n v="4"/>
    <n v="25"/>
    <n v="100"/>
    <n v="1.5"/>
    <n v="2"/>
  </r>
  <r>
    <n v="999"/>
    <n v="5"/>
    <n v="12"/>
    <n v="2023"/>
    <s v="Tuesday"/>
    <s v="Dec"/>
    <d v="2023-12-05T00:00:00"/>
    <s v="CUST999"/>
    <x v="1"/>
    <x v="0"/>
    <n v="36"/>
    <x v="2"/>
    <n v="3"/>
    <n v="50"/>
    <n v="150"/>
    <n v="2.25"/>
    <n v="3"/>
  </r>
  <r>
    <n v="1000"/>
    <n v="12"/>
    <n v="4"/>
    <n v="2023"/>
    <s v="Wednesday"/>
    <s v="Apr"/>
    <d v="2023-04-12T00:00:00"/>
    <s v="CUST1000"/>
    <x v="0"/>
    <x v="0"/>
    <n v="47"/>
    <x v="2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7D949-2049-44B2-B3E4-C83A7F41FAD5}" name="PivotTable1" cacheId="19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E8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otal Sales" fld="14" baseField="0" baseItem="0" numFmtId="165"/>
  </dataFields>
  <formats count="1">
    <format dxfId="5">
      <pivotArea outline="0" fieldPosition="0">
        <references count="2">
          <reference field="9" count="1" selected="0">
            <x v="1"/>
          </reference>
          <reference field="11" count="1" selected="0">
            <x v="1"/>
          </reference>
        </references>
      </pivotArea>
    </format>
  </formats>
  <chartFormats count="6">
    <chartFormat chart="2" format="15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2" format="16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2" format="17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45F7E2AE-EB57-4EFB-AEE1-C4F02DC7744B}" sourceName="Gender">
  <pivotTables>
    <pivotTable tabId="5" name="PivotTable1"/>
  </pivotTables>
  <data>
    <tabular pivotCacheId="964115070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056979FA-1281-4023-8A67-51FF24F74DA3}" sourceName="Generation">
  <pivotTables>
    <pivotTable tabId="5" name="PivotTable1"/>
  </pivotTables>
  <data>
    <tabular pivotCacheId="964115070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23619C2B-62D1-4AB2-8B6E-06C964590949}" sourceName="Product Category">
  <pivotTables>
    <pivotTable tabId="5" name="PivotTable1"/>
  </pivotTables>
  <data>
    <tabular pivotCacheId="964115070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6D88E1DA-AB8D-4BF2-8F5D-D88763D7F32A}" cache="Slicer_Gender" caption="Gender" rowHeight="228600"/>
  <slicer name="Generation" xr10:uid="{45ECCAA6-5181-4037-A4EF-3A877E137DF1}" cache="Slicer_Generation" caption="Generation" rowHeight="228600"/>
  <slicer name="Product Category" xr10:uid="{10A3341E-F061-4F7E-AC57-F142C166FF41}" cache="Slicer_Product_Category" caption="Product 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D4F835-A083-47CF-AFB8-91A947E94B8B}" name="Table2" displayName="Table2" ref="S2:S4" totalsRowShown="0">
  <autoFilter ref="S2:S4" xr:uid="{BDD4F835-A083-47CF-AFB8-91A947E94B8B}"/>
  <tableColumns count="1">
    <tableColumn id="1" xr3:uid="{DDE09D58-3E08-4CA9-BCDD-D648BA197CBA}" name="Rate %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E2A8CA-11F7-4AF1-A905-579FA766B5FD}" name="Table6" displayName="Table6" ref="R8:U13" totalsRowShown="0">
  <autoFilter ref="R8:U13" xr:uid="{8CE2A8CA-11F7-4AF1-A905-579FA766B5FD}">
    <filterColumn colId="0" hiddenButton="1"/>
    <filterColumn colId="1" hiddenButton="1"/>
    <filterColumn colId="2" hiddenButton="1"/>
    <filterColumn colId="3" hiddenButton="1"/>
  </autoFilter>
  <tableColumns count="4">
    <tableColumn id="1" xr3:uid="{A18ED53F-A722-4643-B366-882B868EDB2A}" name="Column1"/>
    <tableColumn id="2" xr3:uid="{5EA85631-6C9E-4C16-8C27-507F89DDCE0B}" name="Column2" dataDxfId="2"/>
    <tableColumn id="3" xr3:uid="{92CBE429-CC40-4595-A267-04C5A9CDFF0D}" name="Quantity"/>
    <tableColumn id="4" xr3:uid="{3736B5BB-0491-4664-959A-A1B860F41D8D}" name="Quantity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750E0-8B9E-4A85-8E02-EBDAFF7FD00D}" name="Table1" displayName="Table1" ref="R16:S18" totalsRowShown="0">
  <autoFilter ref="R16:S18" xr:uid="{061750E0-8B9E-4A85-8E02-EBDAFF7FD00D}"/>
  <tableColumns count="2">
    <tableColumn id="1" xr3:uid="{CFA0561F-DC97-4E52-A2F9-8422B569F155}" name="Column1"/>
    <tableColumn id="2" xr3:uid="{53CE6093-9BDE-449A-A8FB-BD6882B8D131}" name="Column2" dataDxfId="1">
      <calculatedColumnFormula>SUM(Q:Q)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58EB3E-EE06-404F-BE0C-16D1DCB76B00}" name="Table3" displayName="Table3" ref="R21:S23" totalsRowShown="0">
  <autoFilter ref="R21:S23" xr:uid="{9D58EB3E-EE06-404F-BE0C-16D1DCB76B00}"/>
  <tableColumns count="2">
    <tableColumn id="1" xr3:uid="{1A547560-7460-4A3D-A30F-A82D218B4D96}" name="Column1"/>
    <tableColumn id="2" xr3:uid="{053BF5C9-D09F-4270-900D-6EFBA545B682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044B-3B2D-4A2B-B62E-E2988C81A9D9}">
  <dimension ref="A3:E8"/>
  <sheetViews>
    <sheetView workbookViewId="0">
      <selection activeCell="T16" sqref="T16"/>
    </sheetView>
  </sheetViews>
  <sheetFormatPr defaultRowHeight="15.75"/>
  <cols>
    <col min="1" max="1" width="18.375" bestFit="1" customWidth="1"/>
    <col min="2" max="2" width="13.25" bestFit="1" customWidth="1"/>
    <col min="3" max="5" width="12.125" bestFit="1" customWidth="1"/>
    <col min="6" max="7" width="7" bestFit="1" customWidth="1"/>
    <col min="8" max="8" width="11.25" bestFit="1" customWidth="1"/>
    <col min="9" max="9" width="9.875" bestFit="1" customWidth="1"/>
    <col min="10" max="11" width="10.75" bestFit="1" customWidth="1"/>
  </cols>
  <sheetData>
    <row r="3" spans="1:5">
      <c r="A3" s="17" t="s">
        <v>0</v>
      </c>
      <c r="B3" s="17" t="s">
        <v>1</v>
      </c>
    </row>
    <row r="4" spans="1:5">
      <c r="A4" s="17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15">
        <v>70230</v>
      </c>
      <c r="C5" s="15">
        <v>31885</v>
      </c>
      <c r="D5" s="15">
        <v>41400</v>
      </c>
      <c r="E5" s="15">
        <v>143515</v>
      </c>
    </row>
    <row r="6" spans="1:5">
      <c r="A6" t="s">
        <v>8</v>
      </c>
      <c r="B6" s="15">
        <v>63310</v>
      </c>
      <c r="C6" s="15">
        <v>46120</v>
      </c>
      <c r="D6" s="15">
        <v>46150</v>
      </c>
      <c r="E6" s="15">
        <v>155580</v>
      </c>
    </row>
    <row r="7" spans="1:5">
      <c r="A7" t="s">
        <v>9</v>
      </c>
      <c r="B7" s="15">
        <v>65995</v>
      </c>
      <c r="C7" s="15">
        <v>55305</v>
      </c>
      <c r="D7" s="15">
        <v>35605</v>
      </c>
      <c r="E7" s="15">
        <v>156905</v>
      </c>
    </row>
    <row r="8" spans="1:5">
      <c r="A8" t="s">
        <v>6</v>
      </c>
      <c r="B8" s="15">
        <v>199535</v>
      </c>
      <c r="C8" s="15">
        <v>133310</v>
      </c>
      <c r="D8" s="15">
        <v>123155</v>
      </c>
      <c r="E8" s="15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topLeftCell="I1" workbookViewId="0">
      <selection activeCell="S26" sqref="S26"/>
    </sheetView>
  </sheetViews>
  <sheetFormatPr defaultColWidth="11.25" defaultRowHeight="15.75"/>
  <cols>
    <col min="1" max="1" width="14.75" customWidth="1"/>
    <col min="2" max="2" width="6.25" bestFit="1" customWidth="1"/>
    <col min="3" max="3" width="8.625" bestFit="1" customWidth="1"/>
    <col min="4" max="4" width="8.375" customWidth="1"/>
    <col min="5" max="5" width="10.625" bestFit="1" customWidth="1"/>
    <col min="6" max="6" width="8.625" bestFit="1" customWidth="1"/>
    <col min="7" max="7" width="10.5" bestFit="1" customWidth="1"/>
    <col min="8" max="8" width="13" customWidth="1"/>
    <col min="12" max="12" width="17.125" customWidth="1"/>
    <col min="14" max="14" width="14.125" style="15" customWidth="1"/>
    <col min="15" max="15" width="11.25" style="15"/>
    <col min="16" max="17" width="15.5" style="15" bestFit="1" customWidth="1"/>
    <col min="18" max="18" width="15.5" bestFit="1" customWidth="1"/>
    <col min="19" max="19" width="12.5" bestFit="1" customWidth="1"/>
  </cols>
  <sheetData>
    <row r="1" spans="1:23">
      <c r="A1" s="8" t="s">
        <v>10</v>
      </c>
      <c r="B1" s="9" t="s">
        <v>11</v>
      </c>
      <c r="C1" s="9" t="s">
        <v>12</v>
      </c>
      <c r="D1" s="9" t="s">
        <v>13</v>
      </c>
      <c r="E1" s="9" t="s">
        <v>11</v>
      </c>
      <c r="F1" s="9" t="s">
        <v>12</v>
      </c>
      <c r="G1" s="9" t="s">
        <v>14</v>
      </c>
      <c r="H1" s="9" t="s">
        <v>15</v>
      </c>
      <c r="I1" s="9" t="s">
        <v>16</v>
      </c>
      <c r="J1" s="9" t="s">
        <v>1</v>
      </c>
      <c r="K1" s="9" t="s">
        <v>17</v>
      </c>
      <c r="L1" s="9" t="s">
        <v>2</v>
      </c>
      <c r="M1" s="9" t="s">
        <v>18</v>
      </c>
      <c r="N1" s="18" t="s">
        <v>19</v>
      </c>
      <c r="O1" s="15" t="s">
        <v>20</v>
      </c>
      <c r="P1" s="15" t="s">
        <v>21</v>
      </c>
      <c r="Q1" s="15" t="s">
        <v>22</v>
      </c>
    </row>
    <row r="2" spans="1:23">
      <c r="A2" s="2">
        <v>650</v>
      </c>
      <c r="B2" s="4">
        <f>DAY(G2)</f>
        <v>1</v>
      </c>
      <c r="C2" s="4">
        <f>MONTH(G2)</f>
        <v>1</v>
      </c>
      <c r="D2" s="4">
        <f>YEAR(G2)</f>
        <v>2024</v>
      </c>
      <c r="E2" s="4" t="str">
        <f>TEXT(G2,"dddd")</f>
        <v>Monday</v>
      </c>
      <c r="F2" s="4" t="str">
        <f>TEXT(G2,"mmm")</f>
        <v>Jan</v>
      </c>
      <c r="G2" s="3">
        <v>45292</v>
      </c>
      <c r="H2" s="4" t="s">
        <v>23</v>
      </c>
      <c r="I2" s="4" t="s">
        <v>24</v>
      </c>
      <c r="J2" s="4" t="str" cm="1">
        <f t="array" ref="J2">_xlfn.IFS(K2&lt;30,"Young Adult",K2&lt;=50,"Adult",K2&gt;50,"Senior")</f>
        <v>Senior</v>
      </c>
      <c r="K2" s="4">
        <v>55</v>
      </c>
      <c r="L2" s="4" t="s">
        <v>9</v>
      </c>
      <c r="M2" s="4">
        <v>1</v>
      </c>
      <c r="N2" s="19">
        <v>30</v>
      </c>
      <c r="O2" s="15">
        <f>M2 * N2</f>
        <v>30</v>
      </c>
      <c r="P2" s="15">
        <f>O2*$S$3</f>
        <v>0.44999999999999996</v>
      </c>
      <c r="Q2" s="15">
        <f>O2*$S$4</f>
        <v>0.6</v>
      </c>
      <c r="S2" t="s">
        <v>25</v>
      </c>
    </row>
    <row r="3" spans="1:23">
      <c r="A3" s="2">
        <v>211</v>
      </c>
      <c r="B3" s="4">
        <f>DAY(G3)</f>
        <v>1</v>
      </c>
      <c r="C3" s="4">
        <f>MONTH(G3)</f>
        <v>1</v>
      </c>
      <c r="D3" s="4">
        <f>YEAR(G3)</f>
        <v>2024</v>
      </c>
      <c r="E3" s="4" t="str">
        <f>TEXT(G3,"dddd")</f>
        <v>Monday</v>
      </c>
      <c r="F3" s="4" t="str">
        <f>TEXT(G3,"mmm")</f>
        <v>Jan</v>
      </c>
      <c r="G3" s="3">
        <v>45292</v>
      </c>
      <c r="H3" s="4" t="s">
        <v>26</v>
      </c>
      <c r="I3" s="4" t="s">
        <v>24</v>
      </c>
      <c r="J3" s="4" t="str" cm="1">
        <f t="array" ref="J3">_xlfn.IFS(K3&lt;30,"Young Adult",K3&lt;=50,"Adult",K3&gt;50,"Senior")</f>
        <v>Adult</v>
      </c>
      <c r="K3" s="4">
        <v>42</v>
      </c>
      <c r="L3" s="4" t="s">
        <v>7</v>
      </c>
      <c r="M3" s="4">
        <v>3</v>
      </c>
      <c r="N3" s="19">
        <v>500</v>
      </c>
      <c r="O3" s="15">
        <f>M3 * N3</f>
        <v>1500</v>
      </c>
      <c r="P3" s="15">
        <f>O3*$S$3</f>
        <v>22.5</v>
      </c>
      <c r="Q3" s="15">
        <f>O3*$S$4</f>
        <v>30</v>
      </c>
      <c r="S3" s="13">
        <v>1.4999999999999999E-2</v>
      </c>
      <c r="W3" t="str" cm="1">
        <f t="array" ref="W3:W7">_xlfn.UNIQUE(L:L)</f>
        <v>Product Category</v>
      </c>
    </row>
    <row r="4" spans="1:23">
      <c r="A4" s="2">
        <v>857</v>
      </c>
      <c r="B4" s="4">
        <f>DAY(G4)</f>
        <v>31</v>
      </c>
      <c r="C4" s="4">
        <f>MONTH(G4)</f>
        <v>12</v>
      </c>
      <c r="D4" s="4">
        <f>YEAR(G4)</f>
        <v>2023</v>
      </c>
      <c r="E4" s="4" t="str">
        <f>TEXT(G4,"dddd")</f>
        <v>Sunday</v>
      </c>
      <c r="F4" s="4" t="str">
        <f>TEXT(G4,"mmm")</f>
        <v>Dec</v>
      </c>
      <c r="G4" s="3">
        <v>45291</v>
      </c>
      <c r="H4" s="4" t="s">
        <v>27</v>
      </c>
      <c r="I4" s="4" t="s">
        <v>24</v>
      </c>
      <c r="J4" s="4" t="str" cm="1">
        <f t="array" ref="J4">_xlfn.IFS(K4&lt;30,"Young Adult",K4&lt;=50,"Adult",K4&gt;50,"Senior")</f>
        <v>Senior</v>
      </c>
      <c r="K4" s="4">
        <v>60</v>
      </c>
      <c r="L4" s="4" t="s">
        <v>9</v>
      </c>
      <c r="M4" s="4">
        <v>2</v>
      </c>
      <c r="N4" s="19">
        <v>25</v>
      </c>
      <c r="O4" s="15">
        <f>M4 * N4</f>
        <v>50</v>
      </c>
      <c r="P4" s="15">
        <f>O4*$S$3</f>
        <v>0.75</v>
      </c>
      <c r="Q4" s="15">
        <f>O4*$S$4</f>
        <v>1</v>
      </c>
      <c r="S4" s="13">
        <v>0.02</v>
      </c>
      <c r="W4" t="str">
        <v>Electronics</v>
      </c>
    </row>
    <row r="5" spans="1:23">
      <c r="A5" s="2">
        <v>233</v>
      </c>
      <c r="B5" s="4">
        <f>DAY(G5)</f>
        <v>29</v>
      </c>
      <c r="C5" s="4">
        <f>MONTH(G5)</f>
        <v>12</v>
      </c>
      <c r="D5" s="4">
        <f>YEAR(G5)</f>
        <v>2023</v>
      </c>
      <c r="E5" s="4" t="str">
        <f>TEXT(G5,"dddd")</f>
        <v>Friday</v>
      </c>
      <c r="F5" s="4" t="str">
        <f>TEXT(G5,"mmm")</f>
        <v>Dec</v>
      </c>
      <c r="G5" s="3">
        <v>45289</v>
      </c>
      <c r="H5" s="4" t="s">
        <v>28</v>
      </c>
      <c r="I5" s="4" t="s">
        <v>29</v>
      </c>
      <c r="J5" s="4" t="str" cm="1">
        <f t="array" ref="J5">_xlfn.IFS(K5&lt;30,"Young Adult",K5&lt;=50,"Adult",K5&gt;50,"Senior")</f>
        <v>Senior</v>
      </c>
      <c r="K5" s="4">
        <v>51</v>
      </c>
      <c r="L5" s="4" t="s">
        <v>7</v>
      </c>
      <c r="M5" s="4">
        <v>2</v>
      </c>
      <c r="N5" s="19">
        <v>300</v>
      </c>
      <c r="O5" s="15">
        <f>M5 * N5</f>
        <v>600</v>
      </c>
      <c r="P5" s="15">
        <f>O5*$S$3</f>
        <v>9</v>
      </c>
      <c r="Q5" s="15">
        <f>O5*$S$4</f>
        <v>12</v>
      </c>
      <c r="W5" t="str">
        <v>Beauty</v>
      </c>
    </row>
    <row r="6" spans="1:23">
      <c r="A6" s="2">
        <v>520</v>
      </c>
      <c r="B6" s="4">
        <f>DAY(G6)</f>
        <v>29</v>
      </c>
      <c r="C6" s="4">
        <f>MONTH(G6)</f>
        <v>12</v>
      </c>
      <c r="D6" s="4">
        <f>YEAR(G6)</f>
        <v>2023</v>
      </c>
      <c r="E6" s="4" t="str">
        <f>TEXT(G6,"dddd")</f>
        <v>Friday</v>
      </c>
      <c r="F6" s="4" t="str">
        <f>TEXT(G6,"mmm")</f>
        <v>Dec</v>
      </c>
      <c r="G6" s="3">
        <v>45289</v>
      </c>
      <c r="H6" s="4" t="s">
        <v>30</v>
      </c>
      <c r="I6" s="4" t="s">
        <v>29</v>
      </c>
      <c r="J6" s="4" t="str" cm="1">
        <f t="array" ref="J6">_xlfn.IFS(K6&lt;30,"Young Adult",K6&lt;=50,"Adult",K6&gt;50,"Senior")</f>
        <v>Adult</v>
      </c>
      <c r="K6" s="4">
        <v>49</v>
      </c>
      <c r="L6" s="4" t="s">
        <v>9</v>
      </c>
      <c r="M6" s="4">
        <v>4</v>
      </c>
      <c r="N6" s="19">
        <v>25</v>
      </c>
      <c r="O6" s="15">
        <f>M6 * N6</f>
        <v>100</v>
      </c>
      <c r="P6" s="15">
        <f>O6*$S$3</f>
        <v>1.5</v>
      </c>
      <c r="Q6" s="15">
        <f>O6*$S$4</f>
        <v>2</v>
      </c>
      <c r="W6" t="str">
        <v>Clothing</v>
      </c>
    </row>
    <row r="7" spans="1:23">
      <c r="A7" s="2">
        <v>908</v>
      </c>
      <c r="B7" s="4">
        <f>DAY(G7)</f>
        <v>29</v>
      </c>
      <c r="C7" s="4">
        <f>MONTH(G7)</f>
        <v>12</v>
      </c>
      <c r="D7" s="4">
        <f>YEAR(G7)</f>
        <v>2023</v>
      </c>
      <c r="E7" s="4" t="str">
        <f>TEXT(G7,"dddd")</f>
        <v>Friday</v>
      </c>
      <c r="F7" s="4" t="str">
        <f>TEXT(G7,"mmm")</f>
        <v>Dec</v>
      </c>
      <c r="G7" s="3">
        <v>45289</v>
      </c>
      <c r="H7" s="4" t="s">
        <v>31</v>
      </c>
      <c r="I7" s="4" t="s">
        <v>24</v>
      </c>
      <c r="J7" s="4" t="str" cm="1">
        <f t="array" ref="J7">_xlfn.IFS(K7&lt;30,"Young Adult",K7&lt;=50,"Adult",K7&gt;50,"Senior")</f>
        <v>Adult</v>
      </c>
      <c r="K7" s="4">
        <v>46</v>
      </c>
      <c r="L7" s="4" t="s">
        <v>7</v>
      </c>
      <c r="M7" s="4">
        <v>4</v>
      </c>
      <c r="N7" s="19">
        <v>300</v>
      </c>
      <c r="O7" s="15">
        <f>M7 * N7</f>
        <v>1200</v>
      </c>
      <c r="P7" s="15">
        <f>O7*$S$3</f>
        <v>18</v>
      </c>
      <c r="Q7" s="15">
        <f>O7*$S$4</f>
        <v>24</v>
      </c>
      <c r="W7">
        <v>0</v>
      </c>
    </row>
    <row r="8" spans="1:23">
      <c r="A8" s="2">
        <v>805</v>
      </c>
      <c r="B8" s="4">
        <f>DAY(G8)</f>
        <v>29</v>
      </c>
      <c r="C8" s="4">
        <f>MONTH(G8)</f>
        <v>12</v>
      </c>
      <c r="D8" s="4">
        <f>YEAR(G8)</f>
        <v>2023</v>
      </c>
      <c r="E8" s="4" t="str">
        <f>TEXT(G8,"dddd")</f>
        <v>Friday</v>
      </c>
      <c r="F8" s="4" t="str">
        <f>TEXT(G8,"mmm")</f>
        <v>Dec</v>
      </c>
      <c r="G8" s="3">
        <v>45289</v>
      </c>
      <c r="H8" s="4" t="s">
        <v>32</v>
      </c>
      <c r="I8" s="4" t="s">
        <v>29</v>
      </c>
      <c r="J8" s="4" t="str" cm="1">
        <f t="array" ref="J8">_xlfn.IFS(K8&lt;30,"Young Adult",K8&lt;=50,"Adult",K8&gt;50,"Senior")</f>
        <v>Adult</v>
      </c>
      <c r="K8" s="4">
        <v>30</v>
      </c>
      <c r="L8" s="4" t="s">
        <v>7</v>
      </c>
      <c r="M8" s="4">
        <v>3</v>
      </c>
      <c r="N8" s="19">
        <v>500</v>
      </c>
      <c r="O8" s="15">
        <f>M8 * N8</f>
        <v>1500</v>
      </c>
      <c r="P8" s="15">
        <f>O8*$S$3</f>
        <v>22.5</v>
      </c>
      <c r="Q8" s="15">
        <f>O8*$S$4</f>
        <v>30</v>
      </c>
      <c r="R8" t="s">
        <v>33</v>
      </c>
      <c r="S8" t="s">
        <v>34</v>
      </c>
      <c r="T8" s="16" t="s">
        <v>18</v>
      </c>
      <c r="U8" s="16" t="s">
        <v>35</v>
      </c>
    </row>
    <row r="9" spans="1:23">
      <c r="A9" s="2">
        <v>429</v>
      </c>
      <c r="B9" s="4">
        <f>DAY(G9)</f>
        <v>28</v>
      </c>
      <c r="C9" s="4">
        <f>MONTH(G9)</f>
        <v>12</v>
      </c>
      <c r="D9" s="4">
        <f>YEAR(G9)</f>
        <v>2023</v>
      </c>
      <c r="E9" s="4" t="str">
        <f>TEXT(G9,"dddd")</f>
        <v>Thursday</v>
      </c>
      <c r="F9" s="4" t="str">
        <f>TEXT(G9,"mmm")</f>
        <v>Dec</v>
      </c>
      <c r="G9" s="3">
        <v>45288</v>
      </c>
      <c r="H9" s="4" t="s">
        <v>36</v>
      </c>
      <c r="I9" s="4" t="s">
        <v>24</v>
      </c>
      <c r="J9" s="4" t="str" cm="1">
        <f t="array" ref="J9">_xlfn.IFS(K9&lt;30,"Young Adult",K9&lt;=50,"Adult",K9&gt;50,"Senior")</f>
        <v>Senior</v>
      </c>
      <c r="K9" s="4">
        <v>64</v>
      </c>
      <c r="L9" s="4" t="s">
        <v>9</v>
      </c>
      <c r="M9" s="4">
        <v>2</v>
      </c>
      <c r="N9" s="19">
        <v>25</v>
      </c>
      <c r="O9" s="15">
        <f>M9 * N9</f>
        <v>50</v>
      </c>
      <c r="P9" s="15">
        <f>O9*$S$3</f>
        <v>0.75</v>
      </c>
      <c r="Q9" s="15">
        <f>O9*$S$4</f>
        <v>1</v>
      </c>
      <c r="S9" t="s">
        <v>37</v>
      </c>
      <c r="T9" t="s">
        <v>29</v>
      </c>
      <c r="U9" t="s">
        <v>24</v>
      </c>
    </row>
    <row r="10" spans="1:23">
      <c r="A10" s="2">
        <v>664</v>
      </c>
      <c r="B10" s="4">
        <f>DAY(G10)</f>
        <v>28</v>
      </c>
      <c r="C10" s="4">
        <f>MONTH(G10)</f>
        <v>12</v>
      </c>
      <c r="D10" s="4">
        <f>YEAR(G10)</f>
        <v>2023</v>
      </c>
      <c r="E10" s="4" t="str">
        <f>TEXT(G10,"dddd")</f>
        <v>Thursday</v>
      </c>
      <c r="F10" s="4" t="str">
        <f>TEXT(G10,"mmm")</f>
        <v>Dec</v>
      </c>
      <c r="G10" s="3">
        <v>45288</v>
      </c>
      <c r="H10" s="4" t="s">
        <v>38</v>
      </c>
      <c r="I10" s="4" t="s">
        <v>29</v>
      </c>
      <c r="J10" s="4" t="str" cm="1">
        <f t="array" ref="J10">_xlfn.IFS(K10&lt;30,"Young Adult",K10&lt;=50,"Adult",K10&gt;50,"Senior")</f>
        <v>Adult</v>
      </c>
      <c r="K10" s="4">
        <v>44</v>
      </c>
      <c r="L10" s="4" t="s">
        <v>8</v>
      </c>
      <c r="M10" s="4">
        <v>4</v>
      </c>
      <c r="N10" s="19">
        <v>500</v>
      </c>
      <c r="O10" s="15">
        <f>M10 * N10</f>
        <v>2000</v>
      </c>
      <c r="P10" s="15">
        <f>O10*$S$3</f>
        <v>30</v>
      </c>
      <c r="Q10" s="15">
        <f>O10*$S$4</f>
        <v>40</v>
      </c>
      <c r="R10" t="s">
        <v>39</v>
      </c>
      <c r="S10" s="15">
        <f>SUM(O:O)</f>
        <v>456000</v>
      </c>
      <c r="T10">
        <f>SUMIFS(M2:M1001,I2:I1001,"female")</f>
        <v>1298</v>
      </c>
      <c r="U10">
        <f>SUMIF(I2:I1001,"male",M2:M1001)</f>
        <v>1216</v>
      </c>
    </row>
    <row r="11" spans="1:23">
      <c r="A11" s="2">
        <v>989</v>
      </c>
      <c r="B11" s="4">
        <f>DAY(G11)</f>
        <v>28</v>
      </c>
      <c r="C11" s="4">
        <f>MONTH(G11)</f>
        <v>12</v>
      </c>
      <c r="D11" s="4">
        <f>YEAR(G11)</f>
        <v>2023</v>
      </c>
      <c r="E11" s="4" t="str">
        <f>TEXT(G11,"dddd")</f>
        <v>Thursday</v>
      </c>
      <c r="F11" s="4" t="str">
        <f>TEXT(G11,"mmm")</f>
        <v>Dec</v>
      </c>
      <c r="G11" s="3">
        <v>45288</v>
      </c>
      <c r="H11" s="4" t="s">
        <v>40</v>
      </c>
      <c r="I11" s="4" t="s">
        <v>29</v>
      </c>
      <c r="J11" s="4" t="str" cm="1">
        <f t="array" ref="J11">_xlfn.IFS(K11&lt;30,"Young Adult",K11&lt;=50,"Adult",K11&gt;50,"Senior")</f>
        <v>Adult</v>
      </c>
      <c r="K11" s="4">
        <v>44</v>
      </c>
      <c r="L11" s="4" t="s">
        <v>9</v>
      </c>
      <c r="M11" s="4">
        <v>1</v>
      </c>
      <c r="N11" s="19">
        <v>25</v>
      </c>
      <c r="O11" s="15">
        <f>M11 * N11</f>
        <v>25</v>
      </c>
      <c r="P11" s="15">
        <f>O11*$S$3</f>
        <v>0.375</v>
      </c>
      <c r="Q11" s="15">
        <f>O11*$S$4</f>
        <v>0.5</v>
      </c>
      <c r="R11" t="s">
        <v>7</v>
      </c>
      <c r="S11" s="15">
        <f>SUMIF(L2:L1001,"Beauty",O2:O1001)</f>
        <v>143515</v>
      </c>
      <c r="T11">
        <f>SUMIFS(M2:M1001,I2:I1001,"female",L2:L1001,"beauty")</f>
        <v>418</v>
      </c>
      <c r="U11">
        <f>SUMIFS(M2:M1001,I2:I1001,"male",L2:L1001,"beauty")</f>
        <v>353</v>
      </c>
    </row>
    <row r="12" spans="1:23">
      <c r="A12" s="2">
        <v>386</v>
      </c>
      <c r="B12" s="4">
        <f>DAY(G12)</f>
        <v>27</v>
      </c>
      <c r="C12" s="4">
        <f>MONTH(G12)</f>
        <v>12</v>
      </c>
      <c r="D12" s="4">
        <f>YEAR(G12)</f>
        <v>2023</v>
      </c>
      <c r="E12" s="4" t="str">
        <f>TEXT(G12,"dddd")</f>
        <v>Wednesday</v>
      </c>
      <c r="F12" s="4" t="str">
        <f>TEXT(G12,"mmm")</f>
        <v>Dec</v>
      </c>
      <c r="G12" s="3">
        <v>45287</v>
      </c>
      <c r="H12" s="4" t="s">
        <v>41</v>
      </c>
      <c r="I12" s="4" t="s">
        <v>29</v>
      </c>
      <c r="J12" s="4" t="str" cm="1">
        <f t="array" ref="J12">_xlfn.IFS(K12&lt;30,"Young Adult",K12&lt;=50,"Adult",K12&gt;50,"Senior")</f>
        <v>Senior</v>
      </c>
      <c r="K12" s="4">
        <v>54</v>
      </c>
      <c r="L12" s="4" t="s">
        <v>9</v>
      </c>
      <c r="M12" s="4">
        <v>2</v>
      </c>
      <c r="N12" s="19">
        <v>300</v>
      </c>
      <c r="O12" s="15">
        <f>M12 * N12</f>
        <v>600</v>
      </c>
      <c r="P12" s="15">
        <f>O12*$S$3</f>
        <v>9</v>
      </c>
      <c r="Q12" s="15">
        <f>O12*$S$4</f>
        <v>12</v>
      </c>
      <c r="R12" t="s">
        <v>8</v>
      </c>
      <c r="S12" s="15">
        <f>SUMIF(L2:L1001,"Clothing",O2:O1001)</f>
        <v>155580</v>
      </c>
      <c r="T12">
        <f>SUMIFS(M2:M1001,I2:I1001,"female",L2:L1001,"clothing")</f>
        <v>441</v>
      </c>
      <c r="U12">
        <f>SUMIFS(M2:M1001,I2:I1001,"male",L2:L1001,"clothing")</f>
        <v>453</v>
      </c>
    </row>
    <row r="13" spans="1:23">
      <c r="A13" s="2">
        <v>62</v>
      </c>
      <c r="B13" s="4">
        <f>DAY(G13)</f>
        <v>27</v>
      </c>
      <c r="C13" s="4">
        <f>MONTH(G13)</f>
        <v>12</v>
      </c>
      <c r="D13" s="4">
        <f>YEAR(G13)</f>
        <v>2023</v>
      </c>
      <c r="E13" s="4" t="str">
        <f>TEXT(G13,"dddd")</f>
        <v>Wednesday</v>
      </c>
      <c r="F13" s="4" t="str">
        <f>TEXT(G13,"mmm")</f>
        <v>Dec</v>
      </c>
      <c r="G13" s="3">
        <v>45287</v>
      </c>
      <c r="H13" s="4" t="s">
        <v>42</v>
      </c>
      <c r="I13" s="4" t="s">
        <v>24</v>
      </c>
      <c r="J13" s="4" t="str" cm="1">
        <f t="array" ref="J13">_xlfn.IFS(K13&lt;30,"Young Adult",K13&lt;=50,"Adult",K13&gt;50,"Senior")</f>
        <v>Young Adult</v>
      </c>
      <c r="K13" s="4">
        <v>18</v>
      </c>
      <c r="L13" s="4" t="s">
        <v>7</v>
      </c>
      <c r="M13" s="4">
        <v>2</v>
      </c>
      <c r="N13" s="19">
        <v>50</v>
      </c>
      <c r="O13" s="15">
        <f>M13 * N13</f>
        <v>100</v>
      </c>
      <c r="P13" s="15">
        <f>O13*$S$3</f>
        <v>1.5</v>
      </c>
      <c r="Q13" s="15">
        <f>O13*$S$4</f>
        <v>2</v>
      </c>
      <c r="R13" t="s">
        <v>9</v>
      </c>
      <c r="S13" s="15">
        <f>SUMIF(L2:L1001,"Electronics",O2:O1001)</f>
        <v>156905</v>
      </c>
      <c r="T13">
        <f>SUMIFS(M2:M1001,I2:I1001,"female",L2:L1001,"electronics")</f>
        <v>439</v>
      </c>
      <c r="U13">
        <f>SUMIFS(M2:M1001,I2:I1001,"male",L2:L1001,"electronics")</f>
        <v>410</v>
      </c>
    </row>
    <row r="14" spans="1:23">
      <c r="A14" s="2">
        <v>25</v>
      </c>
      <c r="B14" s="4">
        <f>DAY(G14)</f>
        <v>26</v>
      </c>
      <c r="C14" s="4">
        <f>MONTH(G14)</f>
        <v>12</v>
      </c>
      <c r="D14" s="4">
        <f>YEAR(G14)</f>
        <v>2023</v>
      </c>
      <c r="E14" s="4" t="str">
        <f>TEXT(G14,"dddd")</f>
        <v>Tuesday</v>
      </c>
      <c r="F14" s="4" t="str">
        <f>TEXT(G14,"mmm")</f>
        <v>Dec</v>
      </c>
      <c r="G14" s="3">
        <v>45286</v>
      </c>
      <c r="H14" s="4" t="s">
        <v>43</v>
      </c>
      <c r="I14" s="4" t="s">
        <v>29</v>
      </c>
      <c r="J14" s="4" t="str" cm="1">
        <f t="array" ref="J14">_xlfn.IFS(K14&lt;30,"Young Adult",K14&lt;=50,"Adult",K14&gt;50,"Senior")</f>
        <v>Senior</v>
      </c>
      <c r="K14" s="4">
        <v>64</v>
      </c>
      <c r="L14" s="4" t="s">
        <v>7</v>
      </c>
      <c r="M14" s="4">
        <v>1</v>
      </c>
      <c r="N14" s="19">
        <v>50</v>
      </c>
      <c r="O14" s="15">
        <f>M14 * N14</f>
        <v>50</v>
      </c>
      <c r="P14" s="15">
        <f>O14*$S$3</f>
        <v>0.75</v>
      </c>
      <c r="Q14" s="15">
        <f>O14*$S$4</f>
        <v>1</v>
      </c>
    </row>
    <row r="15" spans="1:23">
      <c r="A15" s="2">
        <v>842</v>
      </c>
      <c r="B15" s="4">
        <f>DAY(G15)</f>
        <v>26</v>
      </c>
      <c r="C15" s="4">
        <f>MONTH(G15)</f>
        <v>12</v>
      </c>
      <c r="D15" s="4">
        <f>YEAR(G15)</f>
        <v>2023</v>
      </c>
      <c r="E15" s="4" t="str">
        <f>TEXT(G15,"dddd")</f>
        <v>Tuesday</v>
      </c>
      <c r="F15" s="4" t="str">
        <f>TEXT(G15,"mmm")</f>
        <v>Dec</v>
      </c>
      <c r="G15" s="3">
        <v>45286</v>
      </c>
      <c r="H15" s="4" t="s">
        <v>44</v>
      </c>
      <c r="I15" s="4" t="s">
        <v>29</v>
      </c>
      <c r="J15" s="4" t="str" cm="1">
        <f t="array" ref="J15">_xlfn.IFS(K15&lt;30,"Young Adult",K15&lt;=50,"Adult",K15&gt;50,"Senior")</f>
        <v>Adult</v>
      </c>
      <c r="K15" s="4">
        <v>47</v>
      </c>
      <c r="L15" s="4" t="s">
        <v>8</v>
      </c>
      <c r="M15" s="4">
        <v>2</v>
      </c>
      <c r="N15" s="19">
        <v>300</v>
      </c>
      <c r="O15" s="15">
        <f>M15 * N15</f>
        <v>600</v>
      </c>
      <c r="P15" s="15">
        <f>O15*$S$3</f>
        <v>9</v>
      </c>
      <c r="Q15" s="15">
        <f>O15*$S$4</f>
        <v>12</v>
      </c>
    </row>
    <row r="16" spans="1:23">
      <c r="A16" s="2">
        <v>472</v>
      </c>
      <c r="B16" s="4">
        <f>DAY(G16)</f>
        <v>26</v>
      </c>
      <c r="C16" s="4">
        <f>MONTH(G16)</f>
        <v>12</v>
      </c>
      <c r="D16" s="4">
        <f>YEAR(G16)</f>
        <v>2023</v>
      </c>
      <c r="E16" s="4" t="str">
        <f>TEXT(G16,"dddd")</f>
        <v>Tuesday</v>
      </c>
      <c r="F16" s="4" t="str">
        <f>TEXT(G16,"mmm")</f>
        <v>Dec</v>
      </c>
      <c r="G16" s="3">
        <v>45286</v>
      </c>
      <c r="H16" s="4" t="s">
        <v>45</v>
      </c>
      <c r="I16" s="4" t="s">
        <v>29</v>
      </c>
      <c r="J16" s="4" t="str" cm="1">
        <f t="array" ref="J16">_xlfn.IFS(K16&lt;30,"Young Adult",K16&lt;=50,"Adult",K16&gt;50,"Senior")</f>
        <v>Adult</v>
      </c>
      <c r="K16" s="4">
        <v>38</v>
      </c>
      <c r="L16" s="4" t="s">
        <v>7</v>
      </c>
      <c r="M16" s="4">
        <v>3</v>
      </c>
      <c r="N16" s="19">
        <v>300</v>
      </c>
      <c r="O16" s="15">
        <f>M16 * N16</f>
        <v>900</v>
      </c>
      <c r="P16" s="15">
        <f>O16*$S$3</f>
        <v>13.5</v>
      </c>
      <c r="Q16" s="15">
        <f>O16*$S$4</f>
        <v>18</v>
      </c>
      <c r="R16" t="s">
        <v>33</v>
      </c>
      <c r="S16" s="15" t="s">
        <v>34</v>
      </c>
    </row>
    <row r="17" spans="1:19">
      <c r="A17" s="2">
        <v>991</v>
      </c>
      <c r="B17" s="4">
        <f>DAY(G17)</f>
        <v>26</v>
      </c>
      <c r="C17" s="4">
        <f>MONTH(G17)</f>
        <v>12</v>
      </c>
      <c r="D17" s="4">
        <f>YEAR(G17)</f>
        <v>2023</v>
      </c>
      <c r="E17" s="4" t="str">
        <f>TEXT(G17,"dddd")</f>
        <v>Tuesday</v>
      </c>
      <c r="F17" s="4" t="str">
        <f>TEXT(G17,"mmm")</f>
        <v>Dec</v>
      </c>
      <c r="G17" s="3">
        <v>45286</v>
      </c>
      <c r="H17" s="4" t="s">
        <v>46</v>
      </c>
      <c r="I17" s="4" t="s">
        <v>29</v>
      </c>
      <c r="J17" s="4" t="str" cm="1">
        <f t="array" ref="J17">_xlfn.IFS(K17&lt;30,"Young Adult",K17&lt;=50,"Adult",K17&gt;50,"Senior")</f>
        <v>Adult</v>
      </c>
      <c r="K17" s="4">
        <v>34</v>
      </c>
      <c r="L17" s="4" t="s">
        <v>8</v>
      </c>
      <c r="M17" s="4">
        <v>2</v>
      </c>
      <c r="N17" s="19">
        <v>50</v>
      </c>
      <c r="O17" s="15">
        <f>M17 * N17</f>
        <v>100</v>
      </c>
      <c r="P17" s="15">
        <f>O17*$S$3</f>
        <v>1.5</v>
      </c>
      <c r="Q17" s="15">
        <f>O17*$S$4</f>
        <v>2</v>
      </c>
      <c r="R17" t="s">
        <v>47</v>
      </c>
      <c r="S17" s="15">
        <f>SUM(P:P)</f>
        <v>6840</v>
      </c>
    </row>
    <row r="18" spans="1:19">
      <c r="A18" s="2">
        <v>82</v>
      </c>
      <c r="B18" s="4">
        <f>DAY(G18)</f>
        <v>26</v>
      </c>
      <c r="C18" s="4">
        <f>MONTH(G18)</f>
        <v>12</v>
      </c>
      <c r="D18" s="4">
        <f>YEAR(G18)</f>
        <v>2023</v>
      </c>
      <c r="E18" s="4" t="str">
        <f>TEXT(G18,"dddd")</f>
        <v>Tuesday</v>
      </c>
      <c r="F18" s="4" t="str">
        <f>TEXT(G18,"mmm")</f>
        <v>Dec</v>
      </c>
      <c r="G18" s="3">
        <v>45286</v>
      </c>
      <c r="H18" s="4" t="s">
        <v>48</v>
      </c>
      <c r="I18" s="4" t="s">
        <v>29</v>
      </c>
      <c r="J18" s="4" t="str" cm="1">
        <f t="array" ref="J18">_xlfn.IFS(K18&lt;30,"Young Adult",K18&lt;=50,"Adult",K18&gt;50,"Senior")</f>
        <v>Adult</v>
      </c>
      <c r="K18" s="4">
        <v>32</v>
      </c>
      <c r="L18" s="4" t="s">
        <v>7</v>
      </c>
      <c r="M18" s="4">
        <v>4</v>
      </c>
      <c r="N18" s="19">
        <v>50</v>
      </c>
      <c r="O18" s="15">
        <f>M18 * N18</f>
        <v>200</v>
      </c>
      <c r="P18" s="15">
        <f>O18*$S$3</f>
        <v>3</v>
      </c>
      <c r="Q18" s="15">
        <f>O18*$S$4</f>
        <v>4</v>
      </c>
      <c r="R18" t="s">
        <v>49</v>
      </c>
      <c r="S18" s="15">
        <f>SUM(Q:Q)</f>
        <v>9119.9999999999982</v>
      </c>
    </row>
    <row r="19" spans="1:19">
      <c r="A19" s="2">
        <v>879</v>
      </c>
      <c r="B19" s="4">
        <f>DAY(G19)</f>
        <v>26</v>
      </c>
      <c r="C19" s="4">
        <f>MONTH(G19)</f>
        <v>12</v>
      </c>
      <c r="D19" s="4">
        <f>YEAR(G19)</f>
        <v>2023</v>
      </c>
      <c r="E19" s="4" t="str">
        <f>TEXT(G19,"dddd")</f>
        <v>Tuesday</v>
      </c>
      <c r="F19" s="4" t="str">
        <f>TEXT(G19,"mmm")</f>
        <v>Dec</v>
      </c>
      <c r="G19" s="3">
        <v>45286</v>
      </c>
      <c r="H19" s="4" t="s">
        <v>50</v>
      </c>
      <c r="I19" s="4" t="s">
        <v>24</v>
      </c>
      <c r="J19" s="4" t="str" cm="1">
        <f t="array" ref="J19">_xlfn.IFS(K19&lt;30,"Young Adult",K19&lt;=50,"Adult",K19&gt;50,"Senior")</f>
        <v>Young Adult</v>
      </c>
      <c r="K19" s="4">
        <v>23</v>
      </c>
      <c r="L19" s="4" t="s">
        <v>8</v>
      </c>
      <c r="M19" s="4">
        <v>1</v>
      </c>
      <c r="N19" s="19">
        <v>30</v>
      </c>
      <c r="O19" s="15">
        <f>M19 * N19</f>
        <v>30</v>
      </c>
      <c r="P19" s="15">
        <f>O19*$S$3</f>
        <v>0.44999999999999996</v>
      </c>
      <c r="Q19" s="15">
        <f>O19*$S$4</f>
        <v>0.6</v>
      </c>
    </row>
    <row r="20" spans="1:19">
      <c r="A20" s="2">
        <v>757</v>
      </c>
      <c r="B20" s="4">
        <f>DAY(G20)</f>
        <v>25</v>
      </c>
      <c r="C20" s="4">
        <f>MONTH(G20)</f>
        <v>12</v>
      </c>
      <c r="D20" s="4">
        <f>YEAR(G20)</f>
        <v>2023</v>
      </c>
      <c r="E20" s="4" t="str">
        <f>TEXT(G20,"dddd")</f>
        <v>Monday</v>
      </c>
      <c r="F20" s="4" t="str">
        <f>TEXT(G20,"mmm")</f>
        <v>Dec</v>
      </c>
      <c r="G20" s="3">
        <v>45285</v>
      </c>
      <c r="H20" s="4" t="s">
        <v>51</v>
      </c>
      <c r="I20" s="4" t="s">
        <v>29</v>
      </c>
      <c r="J20" s="4" t="str" cm="1">
        <f t="array" ref="J20">_xlfn.IFS(K20&lt;30,"Young Adult",K20&lt;=50,"Adult",K20&gt;50,"Senior")</f>
        <v>Adult</v>
      </c>
      <c r="K20" s="4">
        <v>43</v>
      </c>
      <c r="L20" s="4" t="s">
        <v>9</v>
      </c>
      <c r="M20" s="4">
        <v>4</v>
      </c>
      <c r="N20" s="19">
        <v>300</v>
      </c>
      <c r="O20" s="15">
        <f>M20 * N20</f>
        <v>1200</v>
      </c>
      <c r="P20" s="15">
        <f>O20*$S$3</f>
        <v>18</v>
      </c>
      <c r="Q20" s="15">
        <f>O20*$S$4</f>
        <v>24</v>
      </c>
    </row>
    <row r="21" spans="1:19">
      <c r="A21" s="2">
        <v>34</v>
      </c>
      <c r="B21" s="4">
        <f>DAY(G21)</f>
        <v>24</v>
      </c>
      <c r="C21" s="4">
        <f>MONTH(G21)</f>
        <v>12</v>
      </c>
      <c r="D21" s="4">
        <f>YEAR(G21)</f>
        <v>2023</v>
      </c>
      <c r="E21" s="4" t="str">
        <f>TEXT(G21,"dddd")</f>
        <v>Sunday</v>
      </c>
      <c r="F21" s="4" t="str">
        <f>TEXT(G21,"mmm")</f>
        <v>Dec</v>
      </c>
      <c r="G21" s="3">
        <v>45284</v>
      </c>
      <c r="H21" s="4" t="s">
        <v>52</v>
      </c>
      <c r="I21" s="4" t="s">
        <v>29</v>
      </c>
      <c r="J21" s="4" t="str" cm="1">
        <f t="array" ref="J21">_xlfn.IFS(K21&lt;30,"Young Adult",K21&lt;=50,"Adult",K21&gt;50,"Senior")</f>
        <v>Senior</v>
      </c>
      <c r="K21" s="4">
        <v>51</v>
      </c>
      <c r="L21" s="4" t="s">
        <v>8</v>
      </c>
      <c r="M21" s="4">
        <v>3</v>
      </c>
      <c r="N21" s="19">
        <v>50</v>
      </c>
      <c r="O21" s="15">
        <f>M21 * N21</f>
        <v>150</v>
      </c>
      <c r="P21" s="15">
        <f>O21*$S$3</f>
        <v>2.25</v>
      </c>
      <c r="Q21" s="15">
        <f>O21*$S$4</f>
        <v>3</v>
      </c>
      <c r="R21" t="s">
        <v>33</v>
      </c>
      <c r="S21" s="15" t="s">
        <v>34</v>
      </c>
    </row>
    <row r="22" spans="1:19">
      <c r="A22" s="2">
        <v>916</v>
      </c>
      <c r="B22" s="4">
        <f>DAY(G22)</f>
        <v>24</v>
      </c>
      <c r="C22" s="4">
        <f>MONTH(G22)</f>
        <v>12</v>
      </c>
      <c r="D22" s="4">
        <f>YEAR(G22)</f>
        <v>2023</v>
      </c>
      <c r="E22" s="4" t="str">
        <f>TEXT(G22,"dddd")</f>
        <v>Sunday</v>
      </c>
      <c r="F22" s="4" t="str">
        <f>TEXT(G22,"mmm")</f>
        <v>Dec</v>
      </c>
      <c r="G22" s="3">
        <v>45284</v>
      </c>
      <c r="H22" s="4" t="s">
        <v>53</v>
      </c>
      <c r="I22" s="4" t="s">
        <v>29</v>
      </c>
      <c r="J22" s="4" t="str" cm="1">
        <f t="array" ref="J22">_xlfn.IFS(K22&lt;30,"Young Adult",K22&lt;=50,"Adult",K22&gt;50,"Senior")</f>
        <v>Adult</v>
      </c>
      <c r="K22" s="4">
        <v>32</v>
      </c>
      <c r="L22" s="4" t="s">
        <v>9</v>
      </c>
      <c r="M22" s="4">
        <v>1</v>
      </c>
      <c r="N22" s="19">
        <v>50</v>
      </c>
      <c r="O22" s="15">
        <f>M22 * N22</f>
        <v>50</v>
      </c>
      <c r="P22" s="15">
        <f>O22*$S$3</f>
        <v>0.75</v>
      </c>
      <c r="Q22" s="15">
        <f>O22*$S$4</f>
        <v>1</v>
      </c>
      <c r="R22" t="s">
        <v>54</v>
      </c>
      <c r="S22" s="15">
        <f>AVERAGE(P:P)</f>
        <v>6.84</v>
      </c>
    </row>
    <row r="23" spans="1:19">
      <c r="A23" s="2">
        <v>615</v>
      </c>
      <c r="B23" s="4">
        <f>DAY(G23)</f>
        <v>23</v>
      </c>
      <c r="C23" s="4">
        <f>MONTH(G23)</f>
        <v>12</v>
      </c>
      <c r="D23" s="4">
        <f>YEAR(G23)</f>
        <v>2023</v>
      </c>
      <c r="E23" s="4" t="str">
        <f>TEXT(G23,"dddd")</f>
        <v>Saturday</v>
      </c>
      <c r="F23" s="4" t="str">
        <f>TEXT(G23,"mmm")</f>
        <v>Dec</v>
      </c>
      <c r="G23" s="3">
        <v>45283</v>
      </c>
      <c r="H23" s="4" t="s">
        <v>55</v>
      </c>
      <c r="I23" s="4" t="s">
        <v>29</v>
      </c>
      <c r="J23" s="4" t="str" cm="1">
        <f t="array" ref="J23">_xlfn.IFS(K23&lt;30,"Young Adult",K23&lt;=50,"Adult",K23&gt;50,"Senior")</f>
        <v>Senior</v>
      </c>
      <c r="K23" s="4">
        <v>61</v>
      </c>
      <c r="L23" s="4" t="s">
        <v>8</v>
      </c>
      <c r="M23" s="4">
        <v>4</v>
      </c>
      <c r="N23" s="19">
        <v>25</v>
      </c>
      <c r="O23" s="15">
        <f>M23 * N23</f>
        <v>100</v>
      </c>
      <c r="P23" s="15">
        <f>O23*$S$3</f>
        <v>1.5</v>
      </c>
      <c r="Q23" s="15">
        <f>O23*$S$4</f>
        <v>2</v>
      </c>
      <c r="R23" t="s">
        <v>56</v>
      </c>
      <c r="S23" s="15">
        <f>AVERAGE(Q:Q)</f>
        <v>9.1199999999999974</v>
      </c>
    </row>
    <row r="24" spans="1:19">
      <c r="A24" s="2">
        <v>678</v>
      </c>
      <c r="B24" s="4">
        <f>DAY(G24)</f>
        <v>23</v>
      </c>
      <c r="C24" s="4">
        <f>MONTH(G24)</f>
        <v>12</v>
      </c>
      <c r="D24" s="4">
        <f>YEAR(G24)</f>
        <v>2023</v>
      </c>
      <c r="E24" s="4" t="str">
        <f>TEXT(G24,"dddd")</f>
        <v>Saturday</v>
      </c>
      <c r="F24" s="4" t="str">
        <f>TEXT(G24,"mmm")</f>
        <v>Dec</v>
      </c>
      <c r="G24" s="3">
        <v>45283</v>
      </c>
      <c r="H24" s="4" t="s">
        <v>57</v>
      </c>
      <c r="I24" s="4" t="s">
        <v>29</v>
      </c>
      <c r="J24" s="4" t="str" cm="1">
        <f t="array" ref="J24">_xlfn.IFS(K24&lt;30,"Young Adult",K24&lt;=50,"Adult",K24&gt;50,"Senior")</f>
        <v>Senior</v>
      </c>
      <c r="K24" s="4">
        <v>60</v>
      </c>
      <c r="L24" s="4" t="s">
        <v>9</v>
      </c>
      <c r="M24" s="4">
        <v>3</v>
      </c>
      <c r="N24" s="19">
        <v>300</v>
      </c>
      <c r="O24" s="15">
        <f>M24 * N24</f>
        <v>900</v>
      </c>
      <c r="P24" s="15">
        <f>O24*$S$3</f>
        <v>13.5</v>
      </c>
      <c r="Q24" s="15">
        <f>O24*$S$4</f>
        <v>18</v>
      </c>
    </row>
    <row r="25" spans="1:19">
      <c r="A25" s="2">
        <v>781</v>
      </c>
      <c r="B25" s="4">
        <f>DAY(G25)</f>
        <v>23</v>
      </c>
      <c r="C25" s="4">
        <f>MONTH(G25)</f>
        <v>12</v>
      </c>
      <c r="D25" s="4">
        <f>YEAR(G25)</f>
        <v>2023</v>
      </c>
      <c r="E25" s="4" t="str">
        <f>TEXT(G25,"dddd")</f>
        <v>Saturday</v>
      </c>
      <c r="F25" s="4" t="str">
        <f>TEXT(G25,"mmm")</f>
        <v>Dec</v>
      </c>
      <c r="G25" s="3">
        <v>45283</v>
      </c>
      <c r="H25" s="4" t="s">
        <v>58</v>
      </c>
      <c r="I25" s="4" t="s">
        <v>24</v>
      </c>
      <c r="J25" s="4" t="str" cm="1">
        <f t="array" ref="J25">_xlfn.IFS(K25&lt;30,"Young Adult",K25&lt;=50,"Adult",K25&gt;50,"Senior")</f>
        <v>Adult</v>
      </c>
      <c r="K25" s="4">
        <v>35</v>
      </c>
      <c r="L25" s="4" t="s">
        <v>7</v>
      </c>
      <c r="M25" s="4">
        <v>1</v>
      </c>
      <c r="N25" s="19">
        <v>500</v>
      </c>
      <c r="O25" s="15">
        <f>M25 * N25</f>
        <v>500</v>
      </c>
      <c r="P25" s="15">
        <f>O25*$S$3</f>
        <v>7.5</v>
      </c>
      <c r="Q25" s="15">
        <f>O25*$S$4</f>
        <v>10</v>
      </c>
    </row>
    <row r="26" spans="1:19">
      <c r="A26" s="2">
        <v>544</v>
      </c>
      <c r="B26" s="4">
        <f>DAY(G26)</f>
        <v>23</v>
      </c>
      <c r="C26" s="4">
        <f>MONTH(G26)</f>
        <v>12</v>
      </c>
      <c r="D26" s="4">
        <f>YEAR(G26)</f>
        <v>2023</v>
      </c>
      <c r="E26" s="4" t="str">
        <f>TEXT(G26,"dddd")</f>
        <v>Saturday</v>
      </c>
      <c r="F26" s="4" t="str">
        <f>TEXT(G26,"mmm")</f>
        <v>Dec</v>
      </c>
      <c r="G26" s="3">
        <v>45283</v>
      </c>
      <c r="H26" s="4" t="s">
        <v>59</v>
      </c>
      <c r="I26" s="4" t="s">
        <v>29</v>
      </c>
      <c r="J26" s="4" t="str" cm="1">
        <f t="array" ref="J26">_xlfn.IFS(K26&lt;30,"Young Adult",K26&lt;=50,"Adult",K26&gt;50,"Senior")</f>
        <v>Young Adult</v>
      </c>
      <c r="K26" s="4">
        <v>27</v>
      </c>
      <c r="L26" s="4" t="s">
        <v>9</v>
      </c>
      <c r="M26" s="4">
        <v>1</v>
      </c>
      <c r="N26" s="19">
        <v>25</v>
      </c>
      <c r="O26" s="15">
        <f>M26 * N26</f>
        <v>25</v>
      </c>
      <c r="P26" s="15">
        <f>O26*$S$3</f>
        <v>0.375</v>
      </c>
      <c r="Q26" s="15">
        <f>O26*$S$4</f>
        <v>0.5</v>
      </c>
    </row>
    <row r="27" spans="1:19">
      <c r="A27" s="2">
        <v>309</v>
      </c>
      <c r="B27" s="4">
        <f>DAY(G27)</f>
        <v>23</v>
      </c>
      <c r="C27" s="4">
        <f>MONTH(G27)</f>
        <v>12</v>
      </c>
      <c r="D27" s="4">
        <f>YEAR(G27)</f>
        <v>2023</v>
      </c>
      <c r="E27" s="4" t="str">
        <f>TEXT(G27,"dddd")</f>
        <v>Saturday</v>
      </c>
      <c r="F27" s="4" t="str">
        <f>TEXT(G27,"mmm")</f>
        <v>Dec</v>
      </c>
      <c r="G27" s="3">
        <v>45283</v>
      </c>
      <c r="H27" s="4" t="s">
        <v>60</v>
      </c>
      <c r="I27" s="4" t="s">
        <v>29</v>
      </c>
      <c r="J27" s="4" t="str" cm="1">
        <f t="array" ref="J27">_xlfn.IFS(K27&lt;30,"Young Adult",K27&lt;=50,"Adult",K27&gt;50,"Senior")</f>
        <v>Young Adult</v>
      </c>
      <c r="K27" s="4">
        <v>26</v>
      </c>
      <c r="L27" s="4" t="s">
        <v>7</v>
      </c>
      <c r="M27" s="4">
        <v>1</v>
      </c>
      <c r="N27" s="19">
        <v>25</v>
      </c>
      <c r="O27" s="15">
        <f>M27 * N27</f>
        <v>25</v>
      </c>
      <c r="P27" s="15">
        <f>O27*$S$3</f>
        <v>0.375</v>
      </c>
      <c r="Q27" s="15">
        <f>O27*$S$4</f>
        <v>0.5</v>
      </c>
    </row>
    <row r="28" spans="1:19">
      <c r="A28" s="2">
        <v>602</v>
      </c>
      <c r="B28" s="4">
        <f>DAY(G28)</f>
        <v>23</v>
      </c>
      <c r="C28" s="4">
        <f>MONTH(G28)</f>
        <v>12</v>
      </c>
      <c r="D28" s="4">
        <f>YEAR(G28)</f>
        <v>2023</v>
      </c>
      <c r="E28" s="4" t="str">
        <f>TEXT(G28,"dddd")</f>
        <v>Saturday</v>
      </c>
      <c r="F28" s="4" t="str">
        <f>TEXT(G28,"mmm")</f>
        <v>Dec</v>
      </c>
      <c r="G28" s="3">
        <v>45283</v>
      </c>
      <c r="H28" s="4" t="s">
        <v>61</v>
      </c>
      <c r="I28" s="4" t="s">
        <v>29</v>
      </c>
      <c r="J28" s="4" t="str" cm="1">
        <f t="array" ref="J28">_xlfn.IFS(K28&lt;30,"Young Adult",K28&lt;=50,"Adult",K28&gt;50,"Senior")</f>
        <v>Young Adult</v>
      </c>
      <c r="K28" s="4">
        <v>20</v>
      </c>
      <c r="L28" s="4" t="s">
        <v>9</v>
      </c>
      <c r="M28" s="4">
        <v>1</v>
      </c>
      <c r="N28" s="19">
        <v>300</v>
      </c>
      <c r="O28" s="15">
        <f>M28 * N28</f>
        <v>300</v>
      </c>
      <c r="P28" s="15">
        <f>O28*$S$3</f>
        <v>4.5</v>
      </c>
      <c r="Q28" s="15">
        <f>O28*$S$4</f>
        <v>6</v>
      </c>
    </row>
    <row r="29" spans="1:19">
      <c r="A29" s="2">
        <v>662</v>
      </c>
      <c r="B29" s="4">
        <f>DAY(G29)</f>
        <v>22</v>
      </c>
      <c r="C29" s="4">
        <f>MONTH(G29)</f>
        <v>12</v>
      </c>
      <c r="D29" s="4">
        <f>YEAR(G29)</f>
        <v>2023</v>
      </c>
      <c r="E29" s="4" t="str">
        <f>TEXT(G29,"dddd")</f>
        <v>Friday</v>
      </c>
      <c r="F29" s="4" t="str">
        <f>TEXT(G29,"mmm")</f>
        <v>Dec</v>
      </c>
      <c r="G29" s="3">
        <v>45282</v>
      </c>
      <c r="H29" s="4" t="s">
        <v>62</v>
      </c>
      <c r="I29" s="4" t="s">
        <v>24</v>
      </c>
      <c r="J29" s="4" t="str" cm="1">
        <f t="array" ref="J29">_xlfn.IFS(K29&lt;30,"Young Adult",K29&lt;=50,"Adult",K29&gt;50,"Senior")</f>
        <v>Adult</v>
      </c>
      <c r="K29" s="4">
        <v>48</v>
      </c>
      <c r="L29" s="4" t="s">
        <v>7</v>
      </c>
      <c r="M29" s="4">
        <v>2</v>
      </c>
      <c r="N29" s="19">
        <v>500</v>
      </c>
      <c r="O29" s="15">
        <f>M29 * N29</f>
        <v>1000</v>
      </c>
      <c r="P29" s="15">
        <f>O29*$S$3</f>
        <v>15</v>
      </c>
      <c r="Q29" s="15">
        <f>O29*$S$4</f>
        <v>20</v>
      </c>
    </row>
    <row r="30" spans="1:19">
      <c r="A30" s="2">
        <v>865</v>
      </c>
      <c r="B30" s="4">
        <f>DAY(G30)</f>
        <v>21</v>
      </c>
      <c r="C30" s="4">
        <f>MONTH(G30)</f>
        <v>12</v>
      </c>
      <c r="D30" s="4">
        <f>YEAR(G30)</f>
        <v>2023</v>
      </c>
      <c r="E30" s="4" t="str">
        <f>TEXT(G30,"dddd")</f>
        <v>Thursday</v>
      </c>
      <c r="F30" s="4" t="str">
        <f>TEXT(G30,"mmm")</f>
        <v>Dec</v>
      </c>
      <c r="G30" s="3">
        <v>45281</v>
      </c>
      <c r="H30" s="4" t="s">
        <v>63</v>
      </c>
      <c r="I30" s="4" t="s">
        <v>29</v>
      </c>
      <c r="J30" s="4" t="str" cm="1">
        <f t="array" ref="J30">_xlfn.IFS(K30&lt;30,"Young Adult",K30&lt;=50,"Adult",K30&gt;50,"Senior")</f>
        <v>Adult</v>
      </c>
      <c r="K30" s="4">
        <v>42</v>
      </c>
      <c r="L30" s="4" t="s">
        <v>8</v>
      </c>
      <c r="M30" s="4">
        <v>1</v>
      </c>
      <c r="N30" s="19">
        <v>300</v>
      </c>
      <c r="O30" s="15">
        <f>M30 * N30</f>
        <v>300</v>
      </c>
      <c r="P30" s="15">
        <f>O30*$S$3</f>
        <v>4.5</v>
      </c>
      <c r="Q30" s="15">
        <f>O30*$S$4</f>
        <v>6</v>
      </c>
    </row>
    <row r="31" spans="1:19">
      <c r="A31" s="2">
        <v>777</v>
      </c>
      <c r="B31" s="4">
        <f>DAY(G31)</f>
        <v>20</v>
      </c>
      <c r="C31" s="4">
        <f>MONTH(G31)</f>
        <v>12</v>
      </c>
      <c r="D31" s="4">
        <f>YEAR(G31)</f>
        <v>2023</v>
      </c>
      <c r="E31" s="4" t="str">
        <f>TEXT(G31,"dddd")</f>
        <v>Wednesday</v>
      </c>
      <c r="F31" s="4" t="str">
        <f>TEXT(G31,"mmm")</f>
        <v>Dec</v>
      </c>
      <c r="G31" s="3">
        <v>45280</v>
      </c>
      <c r="H31" s="4" t="s">
        <v>64</v>
      </c>
      <c r="I31" s="4" t="s">
        <v>24</v>
      </c>
      <c r="J31" s="4" t="str" cm="1">
        <f t="array" ref="J31">_xlfn.IFS(K31&lt;30,"Young Adult",K31&lt;=50,"Adult",K31&gt;50,"Senior")</f>
        <v>Adult</v>
      </c>
      <c r="K31" s="4">
        <v>48</v>
      </c>
      <c r="L31" s="4" t="s">
        <v>9</v>
      </c>
      <c r="M31" s="4">
        <v>3</v>
      </c>
      <c r="N31" s="19">
        <v>50</v>
      </c>
      <c r="O31" s="15">
        <f>M31 * N31</f>
        <v>150</v>
      </c>
      <c r="P31" s="15">
        <f>O31*$S$3</f>
        <v>2.25</v>
      </c>
      <c r="Q31" s="15">
        <f>O31*$S$4</f>
        <v>3</v>
      </c>
    </row>
    <row r="32" spans="1:19">
      <c r="A32" s="2">
        <v>890</v>
      </c>
      <c r="B32" s="4">
        <f>DAY(G32)</f>
        <v>20</v>
      </c>
      <c r="C32" s="4">
        <f>MONTH(G32)</f>
        <v>12</v>
      </c>
      <c r="D32" s="4">
        <f>YEAR(G32)</f>
        <v>2023</v>
      </c>
      <c r="E32" s="4" t="str">
        <f>TEXT(G32,"dddd")</f>
        <v>Wednesday</v>
      </c>
      <c r="F32" s="4" t="str">
        <f>TEXT(G32,"mmm")</f>
        <v>Dec</v>
      </c>
      <c r="G32" s="3">
        <v>45280</v>
      </c>
      <c r="H32" s="4" t="s">
        <v>65</v>
      </c>
      <c r="I32" s="4" t="s">
        <v>24</v>
      </c>
      <c r="J32" s="4" t="str" cm="1">
        <f t="array" ref="J32">_xlfn.IFS(K32&lt;30,"Young Adult",K32&lt;=50,"Adult",K32&gt;50,"Senior")</f>
        <v>Adult</v>
      </c>
      <c r="K32" s="4">
        <v>34</v>
      </c>
      <c r="L32" s="4" t="s">
        <v>9</v>
      </c>
      <c r="M32" s="4">
        <v>2</v>
      </c>
      <c r="N32" s="19">
        <v>25</v>
      </c>
      <c r="O32" s="15">
        <f>M32 * N32</f>
        <v>50</v>
      </c>
      <c r="P32" s="15">
        <f>O32*$S$3</f>
        <v>0.75</v>
      </c>
      <c r="Q32" s="15">
        <f>O32*$S$4</f>
        <v>1</v>
      </c>
    </row>
    <row r="33" spans="1:17">
      <c r="A33" s="2">
        <v>209</v>
      </c>
      <c r="B33" s="4">
        <f>DAY(G33)</f>
        <v>20</v>
      </c>
      <c r="C33" s="4">
        <f>MONTH(G33)</f>
        <v>12</v>
      </c>
      <c r="D33" s="4">
        <f>YEAR(G33)</f>
        <v>2023</v>
      </c>
      <c r="E33" s="4" t="str">
        <f>TEXT(G33,"dddd")</f>
        <v>Wednesday</v>
      </c>
      <c r="F33" s="4" t="str">
        <f>TEXT(G33,"mmm")</f>
        <v>Dec</v>
      </c>
      <c r="G33" s="3">
        <v>45280</v>
      </c>
      <c r="H33" s="4" t="s">
        <v>66</v>
      </c>
      <c r="I33" s="4" t="s">
        <v>29</v>
      </c>
      <c r="J33" s="4" t="str" cm="1">
        <f t="array" ref="J33">_xlfn.IFS(K33&lt;30,"Young Adult",K33&lt;=50,"Adult",K33&gt;50,"Senior")</f>
        <v>Adult</v>
      </c>
      <c r="K33" s="4">
        <v>30</v>
      </c>
      <c r="L33" s="4" t="s">
        <v>9</v>
      </c>
      <c r="M33" s="4">
        <v>4</v>
      </c>
      <c r="N33" s="19">
        <v>50</v>
      </c>
      <c r="O33" s="15">
        <f>M33 * N33</f>
        <v>200</v>
      </c>
      <c r="P33" s="15">
        <f>O33*$S$3</f>
        <v>3</v>
      </c>
      <c r="Q33" s="15">
        <f>O33*$S$4</f>
        <v>4</v>
      </c>
    </row>
    <row r="34" spans="1:17">
      <c r="A34" s="2">
        <v>435</v>
      </c>
      <c r="B34" s="4">
        <f>DAY(G34)</f>
        <v>20</v>
      </c>
      <c r="C34" s="4">
        <f>MONTH(G34)</f>
        <v>12</v>
      </c>
      <c r="D34" s="4">
        <f>YEAR(G34)</f>
        <v>2023</v>
      </c>
      <c r="E34" s="4" t="str">
        <f>TEXT(G34,"dddd")</f>
        <v>Wednesday</v>
      </c>
      <c r="F34" s="4" t="str">
        <f>TEXT(G34,"mmm")</f>
        <v>Dec</v>
      </c>
      <c r="G34" s="3">
        <v>45280</v>
      </c>
      <c r="H34" s="4" t="s">
        <v>67</v>
      </c>
      <c r="I34" s="4" t="s">
        <v>29</v>
      </c>
      <c r="J34" s="4" t="str" cm="1">
        <f t="array" ref="J34">_xlfn.IFS(K34&lt;30,"Young Adult",K34&lt;=50,"Adult",K34&gt;50,"Senior")</f>
        <v>Adult</v>
      </c>
      <c r="K34" s="4">
        <v>30</v>
      </c>
      <c r="L34" s="4" t="s">
        <v>7</v>
      </c>
      <c r="M34" s="4">
        <v>3</v>
      </c>
      <c r="N34" s="19">
        <v>300</v>
      </c>
      <c r="O34" s="15">
        <f>M34 * N34</f>
        <v>900</v>
      </c>
      <c r="P34" s="15">
        <f>O34*$S$3</f>
        <v>13.5</v>
      </c>
      <c r="Q34" s="15">
        <f>O34*$S$4</f>
        <v>18</v>
      </c>
    </row>
    <row r="35" spans="1:17">
      <c r="A35" s="2">
        <v>854</v>
      </c>
      <c r="B35" s="4">
        <f>DAY(G35)</f>
        <v>20</v>
      </c>
      <c r="C35" s="4">
        <f>MONTH(G35)</f>
        <v>12</v>
      </c>
      <c r="D35" s="4">
        <f>YEAR(G35)</f>
        <v>2023</v>
      </c>
      <c r="E35" s="4" t="str">
        <f>TEXT(G35,"dddd")</f>
        <v>Wednesday</v>
      </c>
      <c r="F35" s="4" t="str">
        <f>TEXT(G35,"mmm")</f>
        <v>Dec</v>
      </c>
      <c r="G35" s="3">
        <v>45280</v>
      </c>
      <c r="H35" s="4" t="s">
        <v>68</v>
      </c>
      <c r="I35" s="4" t="s">
        <v>24</v>
      </c>
      <c r="J35" s="4" t="str" cm="1">
        <f t="array" ref="J35">_xlfn.IFS(K35&lt;30,"Young Adult",K35&lt;=50,"Adult",K35&gt;50,"Senior")</f>
        <v>Young Adult</v>
      </c>
      <c r="K35" s="4">
        <v>29</v>
      </c>
      <c r="L35" s="4" t="s">
        <v>8</v>
      </c>
      <c r="M35" s="4">
        <v>1</v>
      </c>
      <c r="N35" s="19">
        <v>50</v>
      </c>
      <c r="O35" s="15">
        <f>M35 * N35</f>
        <v>50</v>
      </c>
      <c r="P35" s="15">
        <f>O35*$S$3</f>
        <v>0.75</v>
      </c>
      <c r="Q35" s="15">
        <f>O35*$S$4</f>
        <v>1</v>
      </c>
    </row>
    <row r="36" spans="1:17">
      <c r="A36" s="2">
        <v>609</v>
      </c>
      <c r="B36" s="4">
        <f>DAY(G36)</f>
        <v>19</v>
      </c>
      <c r="C36" s="4">
        <f>MONTH(G36)</f>
        <v>12</v>
      </c>
      <c r="D36" s="4">
        <f>YEAR(G36)</f>
        <v>2023</v>
      </c>
      <c r="E36" s="4" t="str">
        <f>TEXT(G36,"dddd")</f>
        <v>Tuesday</v>
      </c>
      <c r="F36" s="4" t="str">
        <f>TEXT(G36,"mmm")</f>
        <v>Dec</v>
      </c>
      <c r="G36" s="3">
        <v>45279</v>
      </c>
      <c r="H36" s="4" t="s">
        <v>69</v>
      </c>
      <c r="I36" s="4" t="s">
        <v>29</v>
      </c>
      <c r="J36" s="4" t="str" cm="1">
        <f t="array" ref="J36">_xlfn.IFS(K36&lt;30,"Young Adult",K36&lt;=50,"Adult",K36&gt;50,"Senior")</f>
        <v>Adult</v>
      </c>
      <c r="K36" s="4">
        <v>47</v>
      </c>
      <c r="L36" s="4" t="s">
        <v>8</v>
      </c>
      <c r="M36" s="4">
        <v>2</v>
      </c>
      <c r="N36" s="19">
        <v>50</v>
      </c>
      <c r="O36" s="15">
        <f>M36 * N36</f>
        <v>100</v>
      </c>
      <c r="P36" s="15">
        <f>O36*$S$3</f>
        <v>1.5</v>
      </c>
      <c r="Q36" s="15">
        <f>O36*$S$4</f>
        <v>2</v>
      </c>
    </row>
    <row r="37" spans="1:17">
      <c r="A37" s="2">
        <v>982</v>
      </c>
      <c r="B37" s="4">
        <f>DAY(G37)</f>
        <v>19</v>
      </c>
      <c r="C37" s="4">
        <f>MONTH(G37)</f>
        <v>12</v>
      </c>
      <c r="D37" s="4">
        <f>YEAR(G37)</f>
        <v>2023</v>
      </c>
      <c r="E37" s="4" t="str">
        <f>TEXT(G37,"dddd")</f>
        <v>Tuesday</v>
      </c>
      <c r="F37" s="4" t="str">
        <f>TEXT(G37,"mmm")</f>
        <v>Dec</v>
      </c>
      <c r="G37" s="3">
        <v>45279</v>
      </c>
      <c r="H37" s="4" t="s">
        <v>70</v>
      </c>
      <c r="I37" s="4" t="s">
        <v>29</v>
      </c>
      <c r="J37" s="4" t="str" cm="1">
        <f t="array" ref="J37">_xlfn.IFS(K37&lt;30,"Young Adult",K37&lt;=50,"Adult",K37&gt;50,"Senior")</f>
        <v>Adult</v>
      </c>
      <c r="K37" s="4">
        <v>46</v>
      </c>
      <c r="L37" s="4" t="s">
        <v>7</v>
      </c>
      <c r="M37" s="4">
        <v>3</v>
      </c>
      <c r="N37" s="19">
        <v>30</v>
      </c>
      <c r="O37" s="15">
        <f>M37 * N37</f>
        <v>90</v>
      </c>
      <c r="P37" s="15">
        <f>O37*$S$3</f>
        <v>1.3499999999999999</v>
      </c>
      <c r="Q37" s="15">
        <f>O37*$S$4</f>
        <v>1.8</v>
      </c>
    </row>
    <row r="38" spans="1:17">
      <c r="A38" s="2">
        <v>96</v>
      </c>
      <c r="B38" s="4">
        <f>DAY(G38)</f>
        <v>19</v>
      </c>
      <c r="C38" s="4">
        <f>MONTH(G38)</f>
        <v>12</v>
      </c>
      <c r="D38" s="4">
        <f>YEAR(G38)</f>
        <v>2023</v>
      </c>
      <c r="E38" s="4" t="str">
        <f>TEXT(G38,"dddd")</f>
        <v>Tuesday</v>
      </c>
      <c r="F38" s="4" t="str">
        <f>TEXT(G38,"mmm")</f>
        <v>Dec</v>
      </c>
      <c r="G38" s="3">
        <v>45279</v>
      </c>
      <c r="H38" s="4" t="s">
        <v>71</v>
      </c>
      <c r="I38" s="4" t="s">
        <v>29</v>
      </c>
      <c r="J38" s="4" t="str" cm="1">
        <f t="array" ref="J38">_xlfn.IFS(K38&lt;30,"Young Adult",K38&lt;=50,"Adult",K38&gt;50,"Senior")</f>
        <v>Adult</v>
      </c>
      <c r="K38" s="4">
        <v>44</v>
      </c>
      <c r="L38" s="4" t="s">
        <v>8</v>
      </c>
      <c r="M38" s="4">
        <v>2</v>
      </c>
      <c r="N38" s="19">
        <v>300</v>
      </c>
      <c r="O38" s="15">
        <f>M38 * N38</f>
        <v>600</v>
      </c>
      <c r="P38" s="15">
        <f>O38*$S$3</f>
        <v>9</v>
      </c>
      <c r="Q38" s="15">
        <f>O38*$S$4</f>
        <v>12</v>
      </c>
    </row>
    <row r="39" spans="1:17">
      <c r="A39" s="2">
        <v>994</v>
      </c>
      <c r="B39" s="4">
        <f>DAY(G39)</f>
        <v>18</v>
      </c>
      <c r="C39" s="4">
        <f>MONTH(G39)</f>
        <v>12</v>
      </c>
      <c r="D39" s="4">
        <f>YEAR(G39)</f>
        <v>2023</v>
      </c>
      <c r="E39" s="4" t="str">
        <f>TEXT(G39,"dddd")</f>
        <v>Monday</v>
      </c>
      <c r="F39" s="4" t="str">
        <f>TEXT(G39,"mmm")</f>
        <v>Dec</v>
      </c>
      <c r="G39" s="3">
        <v>45278</v>
      </c>
      <c r="H39" s="4" t="s">
        <v>72</v>
      </c>
      <c r="I39" s="4" t="s">
        <v>29</v>
      </c>
      <c r="J39" s="4" t="str" cm="1">
        <f t="array" ref="J39">_xlfn.IFS(K39&lt;30,"Young Adult",K39&lt;=50,"Adult",K39&gt;50,"Senior")</f>
        <v>Senior</v>
      </c>
      <c r="K39" s="4">
        <v>51</v>
      </c>
      <c r="L39" s="4" t="s">
        <v>7</v>
      </c>
      <c r="M39" s="4">
        <v>2</v>
      </c>
      <c r="N39" s="19">
        <v>500</v>
      </c>
      <c r="O39" s="15">
        <f>M39 * N39</f>
        <v>1000</v>
      </c>
      <c r="P39" s="15">
        <f>O39*$S$3</f>
        <v>15</v>
      </c>
      <c r="Q39" s="15">
        <f>O39*$S$4</f>
        <v>20</v>
      </c>
    </row>
    <row r="40" spans="1:17">
      <c r="A40" s="2">
        <v>525</v>
      </c>
      <c r="B40" s="4">
        <f>DAY(G40)</f>
        <v>18</v>
      </c>
      <c r="C40" s="4">
        <f>MONTH(G40)</f>
        <v>12</v>
      </c>
      <c r="D40" s="4">
        <f>YEAR(G40)</f>
        <v>2023</v>
      </c>
      <c r="E40" s="4" t="str">
        <f>TEXT(G40,"dddd")</f>
        <v>Monday</v>
      </c>
      <c r="F40" s="4" t="str">
        <f>TEXT(G40,"mmm")</f>
        <v>Dec</v>
      </c>
      <c r="G40" s="3">
        <v>45278</v>
      </c>
      <c r="H40" s="4" t="s">
        <v>73</v>
      </c>
      <c r="I40" s="4" t="s">
        <v>29</v>
      </c>
      <c r="J40" s="4" t="str" cm="1">
        <f t="array" ref="J40">_xlfn.IFS(K40&lt;30,"Young Adult",K40&lt;=50,"Adult",K40&gt;50,"Senior")</f>
        <v>Adult</v>
      </c>
      <c r="K40" s="4">
        <v>47</v>
      </c>
      <c r="L40" s="4" t="s">
        <v>7</v>
      </c>
      <c r="M40" s="4">
        <v>2</v>
      </c>
      <c r="N40" s="19">
        <v>25</v>
      </c>
      <c r="O40" s="15">
        <f>M40 * N40</f>
        <v>50</v>
      </c>
      <c r="P40" s="15">
        <f>O40*$S$3</f>
        <v>0.75</v>
      </c>
      <c r="Q40" s="15">
        <f>O40*$S$4</f>
        <v>1</v>
      </c>
    </row>
    <row r="41" spans="1:17">
      <c r="A41" s="2">
        <v>939</v>
      </c>
      <c r="B41" s="4">
        <f>DAY(G41)</f>
        <v>18</v>
      </c>
      <c r="C41" s="4">
        <f>MONTH(G41)</f>
        <v>12</v>
      </c>
      <c r="D41" s="4">
        <f>YEAR(G41)</f>
        <v>2023</v>
      </c>
      <c r="E41" s="4" t="str">
        <f>TEXT(G41,"dddd")</f>
        <v>Monday</v>
      </c>
      <c r="F41" s="4" t="str">
        <f>TEXT(G41,"mmm")</f>
        <v>Dec</v>
      </c>
      <c r="G41" s="3">
        <v>45278</v>
      </c>
      <c r="H41" s="4" t="s">
        <v>74</v>
      </c>
      <c r="I41" s="4" t="s">
        <v>29</v>
      </c>
      <c r="J41" s="4" t="str" cm="1">
        <f t="array" ref="J41">_xlfn.IFS(K41&lt;30,"Young Adult",K41&lt;=50,"Adult",K41&gt;50,"Senior")</f>
        <v>Adult</v>
      </c>
      <c r="K41" s="4">
        <v>46</v>
      </c>
      <c r="L41" s="4" t="s">
        <v>9</v>
      </c>
      <c r="M41" s="4">
        <v>1</v>
      </c>
      <c r="N41" s="19">
        <v>300</v>
      </c>
      <c r="O41" s="15">
        <f>M41 * N41</f>
        <v>300</v>
      </c>
      <c r="P41" s="15">
        <f>O41*$S$3</f>
        <v>4.5</v>
      </c>
      <c r="Q41" s="15">
        <f>O41*$S$4</f>
        <v>6</v>
      </c>
    </row>
    <row r="42" spans="1:17">
      <c r="A42" s="2">
        <v>409</v>
      </c>
      <c r="B42" s="4">
        <f>DAY(G42)</f>
        <v>18</v>
      </c>
      <c r="C42" s="4">
        <f>MONTH(G42)</f>
        <v>12</v>
      </c>
      <c r="D42" s="4">
        <f>YEAR(G42)</f>
        <v>2023</v>
      </c>
      <c r="E42" s="4" t="str">
        <f>TEXT(G42,"dddd")</f>
        <v>Monday</v>
      </c>
      <c r="F42" s="4" t="str">
        <f>TEXT(G42,"mmm")</f>
        <v>Dec</v>
      </c>
      <c r="G42" s="3">
        <v>45278</v>
      </c>
      <c r="H42" s="4" t="s">
        <v>75</v>
      </c>
      <c r="I42" s="4" t="s">
        <v>29</v>
      </c>
      <c r="J42" s="4" t="str" cm="1">
        <f t="array" ref="J42">_xlfn.IFS(K42&lt;30,"Young Adult",K42&lt;=50,"Adult",K42&gt;50,"Senior")</f>
        <v>Young Adult</v>
      </c>
      <c r="K42" s="4">
        <v>21</v>
      </c>
      <c r="L42" s="4" t="s">
        <v>9</v>
      </c>
      <c r="M42" s="4">
        <v>3</v>
      </c>
      <c r="N42" s="19">
        <v>300</v>
      </c>
      <c r="O42" s="15">
        <f>M42 * N42</f>
        <v>900</v>
      </c>
      <c r="P42" s="15">
        <f>O42*$S$3</f>
        <v>13.5</v>
      </c>
      <c r="Q42" s="15">
        <f>O42*$S$4</f>
        <v>18</v>
      </c>
    </row>
    <row r="43" spans="1:17">
      <c r="A43" s="2">
        <v>783</v>
      </c>
      <c r="B43" s="4">
        <f>DAY(G43)</f>
        <v>17</v>
      </c>
      <c r="C43" s="4">
        <f>MONTH(G43)</f>
        <v>12</v>
      </c>
      <c r="D43" s="4">
        <f>YEAR(G43)</f>
        <v>2023</v>
      </c>
      <c r="E43" s="4" t="str">
        <f>TEXT(G43,"dddd")</f>
        <v>Sunday</v>
      </c>
      <c r="F43" s="4" t="str">
        <f>TEXT(G43,"mmm")</f>
        <v>Dec</v>
      </c>
      <c r="G43" s="3">
        <v>45277</v>
      </c>
      <c r="H43" s="4" t="s">
        <v>76</v>
      </c>
      <c r="I43" s="4" t="s">
        <v>29</v>
      </c>
      <c r="J43" s="4" t="str" cm="1">
        <f t="array" ref="J43">_xlfn.IFS(K43&lt;30,"Young Adult",K43&lt;=50,"Adult",K43&gt;50,"Senior")</f>
        <v>Senior</v>
      </c>
      <c r="K43" s="4">
        <v>56</v>
      </c>
      <c r="L43" s="4" t="s">
        <v>8</v>
      </c>
      <c r="M43" s="4">
        <v>1</v>
      </c>
      <c r="N43" s="19">
        <v>300</v>
      </c>
      <c r="O43" s="15">
        <f>M43 * N43</f>
        <v>300</v>
      </c>
      <c r="P43" s="15">
        <f>O43*$S$3</f>
        <v>4.5</v>
      </c>
      <c r="Q43" s="15">
        <f>O43*$S$4</f>
        <v>6</v>
      </c>
    </row>
    <row r="44" spans="1:17">
      <c r="A44" s="2">
        <v>99</v>
      </c>
      <c r="B44" s="4">
        <f>DAY(G44)</f>
        <v>17</v>
      </c>
      <c r="C44" s="4">
        <f>MONTH(G44)</f>
        <v>12</v>
      </c>
      <c r="D44" s="4">
        <f>YEAR(G44)</f>
        <v>2023</v>
      </c>
      <c r="E44" s="4" t="str">
        <f>TEXT(G44,"dddd")</f>
        <v>Sunday</v>
      </c>
      <c r="F44" s="4" t="str">
        <f>TEXT(G44,"mmm")</f>
        <v>Dec</v>
      </c>
      <c r="G44" s="3">
        <v>45277</v>
      </c>
      <c r="H44" s="4" t="s">
        <v>77</v>
      </c>
      <c r="I44" s="4" t="s">
        <v>29</v>
      </c>
      <c r="J44" s="4" t="str" cm="1">
        <f t="array" ref="J44">_xlfn.IFS(K44&lt;30,"Young Adult",K44&lt;=50,"Adult",K44&gt;50,"Senior")</f>
        <v>Adult</v>
      </c>
      <c r="K44" s="4">
        <v>50</v>
      </c>
      <c r="L44" s="4" t="s">
        <v>9</v>
      </c>
      <c r="M44" s="4">
        <v>4</v>
      </c>
      <c r="N44" s="19">
        <v>300</v>
      </c>
      <c r="O44" s="15">
        <f>M44 * N44</f>
        <v>1200</v>
      </c>
      <c r="P44" s="15">
        <f>O44*$S$3</f>
        <v>18</v>
      </c>
      <c r="Q44" s="15">
        <f>O44*$S$4</f>
        <v>24</v>
      </c>
    </row>
    <row r="45" spans="1:17">
      <c r="A45" s="2">
        <v>153</v>
      </c>
      <c r="B45" s="4">
        <f>DAY(G45)</f>
        <v>16</v>
      </c>
      <c r="C45" s="4">
        <f>MONTH(G45)</f>
        <v>12</v>
      </c>
      <c r="D45" s="4">
        <f>YEAR(G45)</f>
        <v>2023</v>
      </c>
      <c r="E45" s="4" t="str">
        <f>TEXT(G45,"dddd")</f>
        <v>Saturday</v>
      </c>
      <c r="F45" s="4" t="str">
        <f>TEXT(G45,"mmm")</f>
        <v>Dec</v>
      </c>
      <c r="G45" s="3">
        <v>45276</v>
      </c>
      <c r="H45" s="4" t="s">
        <v>78</v>
      </c>
      <c r="I45" s="4" t="s">
        <v>24</v>
      </c>
      <c r="J45" s="4" t="str" cm="1">
        <f t="array" ref="J45">_xlfn.IFS(K45&lt;30,"Young Adult",K45&lt;=50,"Adult",K45&gt;50,"Senior")</f>
        <v>Senior</v>
      </c>
      <c r="K45" s="4">
        <v>63</v>
      </c>
      <c r="L45" s="4" t="s">
        <v>9</v>
      </c>
      <c r="M45" s="4">
        <v>2</v>
      </c>
      <c r="N45" s="19">
        <v>500</v>
      </c>
      <c r="O45" s="15">
        <f>M45 * N45</f>
        <v>1000</v>
      </c>
      <c r="P45" s="15">
        <f>O45*$S$3</f>
        <v>15</v>
      </c>
      <c r="Q45" s="15">
        <f>O45*$S$4</f>
        <v>20</v>
      </c>
    </row>
    <row r="46" spans="1:17">
      <c r="A46" s="2">
        <v>83</v>
      </c>
      <c r="B46" s="4">
        <f>DAY(G46)</f>
        <v>16</v>
      </c>
      <c r="C46" s="4">
        <f>MONTH(G46)</f>
        <v>12</v>
      </c>
      <c r="D46" s="4">
        <f>YEAR(G46)</f>
        <v>2023</v>
      </c>
      <c r="E46" s="4" t="str">
        <f>TEXT(G46,"dddd")</f>
        <v>Saturday</v>
      </c>
      <c r="F46" s="4" t="str">
        <f>TEXT(G46,"mmm")</f>
        <v>Dec</v>
      </c>
      <c r="G46" s="3">
        <v>45276</v>
      </c>
      <c r="H46" s="4" t="s">
        <v>79</v>
      </c>
      <c r="I46" s="4" t="s">
        <v>24</v>
      </c>
      <c r="J46" s="4" t="str" cm="1">
        <f t="array" ref="J46">_xlfn.IFS(K46&lt;30,"Young Adult",K46&lt;=50,"Adult",K46&gt;50,"Senior")</f>
        <v>Senior</v>
      </c>
      <c r="K46" s="4">
        <v>54</v>
      </c>
      <c r="L46" s="4" t="s">
        <v>9</v>
      </c>
      <c r="M46" s="4">
        <v>2</v>
      </c>
      <c r="N46" s="19">
        <v>50</v>
      </c>
      <c r="O46" s="15">
        <f>M46 * N46</f>
        <v>100</v>
      </c>
      <c r="P46" s="15">
        <f>O46*$S$3</f>
        <v>1.5</v>
      </c>
      <c r="Q46" s="15">
        <f>O46*$S$4</f>
        <v>2</v>
      </c>
    </row>
    <row r="47" spans="1:17">
      <c r="A47" s="2">
        <v>451</v>
      </c>
      <c r="B47" s="4">
        <f>DAY(G47)</f>
        <v>16</v>
      </c>
      <c r="C47" s="4">
        <f>MONTH(G47)</f>
        <v>12</v>
      </c>
      <c r="D47" s="4">
        <f>YEAR(G47)</f>
        <v>2023</v>
      </c>
      <c r="E47" s="4" t="str">
        <f>TEXT(G47,"dddd")</f>
        <v>Saturday</v>
      </c>
      <c r="F47" s="4" t="str">
        <f>TEXT(G47,"mmm")</f>
        <v>Dec</v>
      </c>
      <c r="G47" s="3">
        <v>45276</v>
      </c>
      <c r="H47" s="4" t="s">
        <v>80</v>
      </c>
      <c r="I47" s="4" t="s">
        <v>29</v>
      </c>
      <c r="J47" s="4" t="str" cm="1">
        <f t="array" ref="J47">_xlfn.IFS(K47&lt;30,"Young Adult",K47&lt;=50,"Adult",K47&gt;50,"Senior")</f>
        <v>Adult</v>
      </c>
      <c r="K47" s="4">
        <v>45</v>
      </c>
      <c r="L47" s="4" t="s">
        <v>9</v>
      </c>
      <c r="M47" s="4">
        <v>1</v>
      </c>
      <c r="N47" s="19">
        <v>30</v>
      </c>
      <c r="O47" s="15">
        <f>M47 * N47</f>
        <v>30</v>
      </c>
      <c r="P47" s="15">
        <f>O47*$S$3</f>
        <v>0.44999999999999996</v>
      </c>
      <c r="Q47" s="15">
        <f>O47*$S$4</f>
        <v>0.6</v>
      </c>
    </row>
    <row r="48" spans="1:17">
      <c r="A48" s="2">
        <v>139</v>
      </c>
      <c r="B48" s="4">
        <f>DAY(G48)</f>
        <v>15</v>
      </c>
      <c r="C48" s="4">
        <f>MONTH(G48)</f>
        <v>12</v>
      </c>
      <c r="D48" s="4">
        <f>YEAR(G48)</f>
        <v>2023</v>
      </c>
      <c r="E48" s="4" t="str">
        <f>TEXT(G48,"dddd")</f>
        <v>Friday</v>
      </c>
      <c r="F48" s="4" t="str">
        <f>TEXT(G48,"mmm")</f>
        <v>Dec</v>
      </c>
      <c r="G48" s="3">
        <v>45275</v>
      </c>
      <c r="H48" s="4" t="s">
        <v>81</v>
      </c>
      <c r="I48" s="4" t="s">
        <v>24</v>
      </c>
      <c r="J48" s="4" t="str" cm="1">
        <f t="array" ref="J48">_xlfn.IFS(K48&lt;30,"Young Adult",K48&lt;=50,"Adult",K48&gt;50,"Senior")</f>
        <v>Adult</v>
      </c>
      <c r="K48" s="4">
        <v>36</v>
      </c>
      <c r="L48" s="4" t="s">
        <v>7</v>
      </c>
      <c r="M48" s="4">
        <v>4</v>
      </c>
      <c r="N48" s="19">
        <v>500</v>
      </c>
      <c r="O48" s="15">
        <f>M48 * N48</f>
        <v>2000</v>
      </c>
      <c r="P48" s="15">
        <f>O48*$S$3</f>
        <v>30</v>
      </c>
      <c r="Q48" s="15">
        <f>O48*$S$4</f>
        <v>40</v>
      </c>
    </row>
    <row r="49" spans="1:17">
      <c r="A49" s="2">
        <v>151</v>
      </c>
      <c r="B49" s="4">
        <f>DAY(G49)</f>
        <v>15</v>
      </c>
      <c r="C49" s="4">
        <f>MONTH(G49)</f>
        <v>12</v>
      </c>
      <c r="D49" s="4">
        <f>YEAR(G49)</f>
        <v>2023</v>
      </c>
      <c r="E49" s="4" t="str">
        <f>TEXT(G49,"dddd")</f>
        <v>Friday</v>
      </c>
      <c r="F49" s="4" t="str">
        <f>TEXT(G49,"mmm")</f>
        <v>Dec</v>
      </c>
      <c r="G49" s="3">
        <v>45275</v>
      </c>
      <c r="H49" s="4" t="s">
        <v>82</v>
      </c>
      <c r="I49" s="4" t="s">
        <v>24</v>
      </c>
      <c r="J49" s="4" t="str" cm="1">
        <f t="array" ref="J49">_xlfn.IFS(K49&lt;30,"Young Adult",K49&lt;=50,"Adult",K49&gt;50,"Senior")</f>
        <v>Young Adult</v>
      </c>
      <c r="K49" s="4">
        <v>29</v>
      </c>
      <c r="L49" s="4" t="s">
        <v>8</v>
      </c>
      <c r="M49" s="4">
        <v>1</v>
      </c>
      <c r="N49" s="19">
        <v>50</v>
      </c>
      <c r="O49" s="15">
        <f>M49 * N49</f>
        <v>50</v>
      </c>
      <c r="P49" s="15">
        <f>O49*$S$3</f>
        <v>0.75</v>
      </c>
      <c r="Q49" s="15">
        <f>O49*$S$4</f>
        <v>1</v>
      </c>
    </row>
    <row r="50" spans="1:17">
      <c r="A50" s="2">
        <v>701</v>
      </c>
      <c r="B50" s="4">
        <f>DAY(G50)</f>
        <v>14</v>
      </c>
      <c r="C50" s="4">
        <f>MONTH(G50)</f>
        <v>12</v>
      </c>
      <c r="D50" s="4">
        <f>YEAR(G50)</f>
        <v>2023</v>
      </c>
      <c r="E50" s="4" t="str">
        <f>TEXT(G50,"dddd")</f>
        <v>Thursday</v>
      </c>
      <c r="F50" s="4" t="str">
        <f>TEXT(G50,"mmm")</f>
        <v>Dec</v>
      </c>
      <c r="G50" s="3">
        <v>45274</v>
      </c>
      <c r="H50" s="4" t="s">
        <v>83</v>
      </c>
      <c r="I50" s="4" t="s">
        <v>29</v>
      </c>
      <c r="J50" s="4" t="str" cm="1">
        <f t="array" ref="J50">_xlfn.IFS(K50&lt;30,"Young Adult",K50&lt;=50,"Adult",K50&gt;50,"Senior")</f>
        <v>Senior</v>
      </c>
      <c r="K50" s="4">
        <v>52</v>
      </c>
      <c r="L50" s="4" t="s">
        <v>7</v>
      </c>
      <c r="M50" s="4">
        <v>2</v>
      </c>
      <c r="N50" s="19">
        <v>30</v>
      </c>
      <c r="O50" s="15">
        <f>M50 * N50</f>
        <v>60</v>
      </c>
      <c r="P50" s="15">
        <f>O50*$S$3</f>
        <v>0.89999999999999991</v>
      </c>
      <c r="Q50" s="15">
        <f>O50*$S$4</f>
        <v>1.2</v>
      </c>
    </row>
    <row r="51" spans="1:17">
      <c r="A51" s="2">
        <v>496</v>
      </c>
      <c r="B51" s="4">
        <f>DAY(G51)</f>
        <v>14</v>
      </c>
      <c r="C51" s="4">
        <f>MONTH(G51)</f>
        <v>12</v>
      </c>
      <c r="D51" s="4">
        <f>YEAR(G51)</f>
        <v>2023</v>
      </c>
      <c r="E51" s="4" t="str">
        <f>TEXT(G51,"dddd")</f>
        <v>Thursday</v>
      </c>
      <c r="F51" s="4" t="str">
        <f>TEXT(G51,"mmm")</f>
        <v>Dec</v>
      </c>
      <c r="G51" s="3">
        <v>45274</v>
      </c>
      <c r="H51" s="4" t="s">
        <v>84</v>
      </c>
      <c r="I51" s="4" t="s">
        <v>24</v>
      </c>
      <c r="J51" s="4" t="str" cm="1">
        <f t="array" ref="J51">_xlfn.IFS(K51&lt;30,"Young Adult",K51&lt;=50,"Adult",K51&gt;50,"Senior")</f>
        <v>Young Adult</v>
      </c>
      <c r="K51" s="4">
        <v>23</v>
      </c>
      <c r="L51" s="4" t="s">
        <v>8</v>
      </c>
      <c r="M51" s="4">
        <v>2</v>
      </c>
      <c r="N51" s="19">
        <v>300</v>
      </c>
      <c r="O51" s="15">
        <f>M51 * N51</f>
        <v>600</v>
      </c>
      <c r="P51" s="15">
        <f>O51*$S$3</f>
        <v>9</v>
      </c>
      <c r="Q51" s="15">
        <f>O51*$S$4</f>
        <v>12</v>
      </c>
    </row>
    <row r="52" spans="1:17">
      <c r="A52" s="2">
        <v>9</v>
      </c>
      <c r="B52" s="4">
        <f>DAY(G52)</f>
        <v>13</v>
      </c>
      <c r="C52" s="4">
        <f>MONTH(G52)</f>
        <v>12</v>
      </c>
      <c r="D52" s="4">
        <f>YEAR(G52)</f>
        <v>2023</v>
      </c>
      <c r="E52" s="4" t="str">
        <f>TEXT(G52,"dddd")</f>
        <v>Wednesday</v>
      </c>
      <c r="F52" s="4" t="str">
        <f>TEXT(G52,"mmm")</f>
        <v>Dec</v>
      </c>
      <c r="G52" s="3">
        <v>45273</v>
      </c>
      <c r="H52" s="4" t="s">
        <v>85</v>
      </c>
      <c r="I52" s="4" t="s">
        <v>24</v>
      </c>
      <c r="J52" s="4" t="str" cm="1">
        <f t="array" ref="J52">_xlfn.IFS(K52&lt;30,"Young Adult",K52&lt;=50,"Adult",K52&gt;50,"Senior")</f>
        <v>Senior</v>
      </c>
      <c r="K52" s="4">
        <v>63</v>
      </c>
      <c r="L52" s="4" t="s">
        <v>9</v>
      </c>
      <c r="M52" s="4">
        <v>2</v>
      </c>
      <c r="N52" s="19">
        <v>300</v>
      </c>
      <c r="O52" s="15">
        <f>M52 * N52</f>
        <v>600</v>
      </c>
      <c r="P52" s="15">
        <f>O52*$S$3</f>
        <v>9</v>
      </c>
      <c r="Q52" s="15">
        <f>O52*$S$4</f>
        <v>12</v>
      </c>
    </row>
    <row r="53" spans="1:17">
      <c r="A53" s="2">
        <v>552</v>
      </c>
      <c r="B53" s="4">
        <f>DAY(G53)</f>
        <v>13</v>
      </c>
      <c r="C53" s="4">
        <f>MONTH(G53)</f>
        <v>12</v>
      </c>
      <c r="D53" s="4">
        <f>YEAR(G53)</f>
        <v>2023</v>
      </c>
      <c r="E53" s="4" t="str">
        <f>TEXT(G53,"dddd")</f>
        <v>Wednesday</v>
      </c>
      <c r="F53" s="4" t="str">
        <f>TEXT(G53,"mmm")</f>
        <v>Dec</v>
      </c>
      <c r="G53" s="3">
        <v>45273</v>
      </c>
      <c r="H53" s="4" t="s">
        <v>86</v>
      </c>
      <c r="I53" s="4" t="s">
        <v>29</v>
      </c>
      <c r="J53" s="4" t="str" cm="1">
        <f t="array" ref="J53">_xlfn.IFS(K53&lt;30,"Young Adult",K53&lt;=50,"Adult",K53&gt;50,"Senior")</f>
        <v>Adult</v>
      </c>
      <c r="K53" s="4">
        <v>49</v>
      </c>
      <c r="L53" s="4" t="s">
        <v>9</v>
      </c>
      <c r="M53" s="4">
        <v>3</v>
      </c>
      <c r="N53" s="19">
        <v>25</v>
      </c>
      <c r="O53" s="15">
        <f>M53 * N53</f>
        <v>75</v>
      </c>
      <c r="P53" s="15">
        <f>O53*$S$3</f>
        <v>1.125</v>
      </c>
      <c r="Q53" s="15">
        <f>O53*$S$4</f>
        <v>1.5</v>
      </c>
    </row>
    <row r="54" spans="1:17">
      <c r="A54" s="2">
        <v>771</v>
      </c>
      <c r="B54" s="4">
        <f>DAY(G54)</f>
        <v>13</v>
      </c>
      <c r="C54" s="4">
        <f>MONTH(G54)</f>
        <v>12</v>
      </c>
      <c r="D54" s="4">
        <f>YEAR(G54)</f>
        <v>2023</v>
      </c>
      <c r="E54" s="4" t="str">
        <f>TEXT(G54,"dddd")</f>
        <v>Wednesday</v>
      </c>
      <c r="F54" s="4" t="str">
        <f>TEXT(G54,"mmm")</f>
        <v>Dec</v>
      </c>
      <c r="G54" s="3">
        <v>45273</v>
      </c>
      <c r="H54" s="4" t="s">
        <v>87</v>
      </c>
      <c r="I54" s="4" t="s">
        <v>24</v>
      </c>
      <c r="J54" s="4" t="str" cm="1">
        <f t="array" ref="J54">_xlfn.IFS(K54&lt;30,"Young Adult",K54&lt;=50,"Adult",K54&gt;50,"Senior")</f>
        <v>Young Adult</v>
      </c>
      <c r="K54" s="4">
        <v>24</v>
      </c>
      <c r="L54" s="4" t="s">
        <v>9</v>
      </c>
      <c r="M54" s="4">
        <v>2</v>
      </c>
      <c r="N54" s="19">
        <v>25</v>
      </c>
      <c r="O54" s="15">
        <f>M54 * N54</f>
        <v>50</v>
      </c>
      <c r="P54" s="15">
        <f>O54*$S$3</f>
        <v>0.75</v>
      </c>
      <c r="Q54" s="15">
        <f>O54*$S$4</f>
        <v>1</v>
      </c>
    </row>
    <row r="55" spans="1:17">
      <c r="A55" s="2">
        <v>336</v>
      </c>
      <c r="B55" s="4">
        <f>DAY(G55)</f>
        <v>12</v>
      </c>
      <c r="C55" s="4">
        <f>MONTH(G55)</f>
        <v>12</v>
      </c>
      <c r="D55" s="4">
        <f>YEAR(G55)</f>
        <v>2023</v>
      </c>
      <c r="E55" s="4" t="str">
        <f>TEXT(G55,"dddd")</f>
        <v>Tuesday</v>
      </c>
      <c r="F55" s="4" t="str">
        <f>TEXT(G55,"mmm")</f>
        <v>Dec</v>
      </c>
      <c r="G55" s="3">
        <v>45272</v>
      </c>
      <c r="H55" s="4" t="s">
        <v>88</v>
      </c>
      <c r="I55" s="4" t="s">
        <v>29</v>
      </c>
      <c r="J55" s="4" t="str" cm="1">
        <f t="array" ref="J55">_xlfn.IFS(K55&lt;30,"Young Adult",K55&lt;=50,"Adult",K55&gt;50,"Senior")</f>
        <v>Senior</v>
      </c>
      <c r="K55" s="4">
        <v>52</v>
      </c>
      <c r="L55" s="4" t="s">
        <v>7</v>
      </c>
      <c r="M55" s="4">
        <v>3</v>
      </c>
      <c r="N55" s="19">
        <v>50</v>
      </c>
      <c r="O55" s="15">
        <f>M55 * N55</f>
        <v>150</v>
      </c>
      <c r="P55" s="15">
        <f>O55*$S$3</f>
        <v>2.25</v>
      </c>
      <c r="Q55" s="15">
        <f>O55*$S$4</f>
        <v>3</v>
      </c>
    </row>
    <row r="56" spans="1:17">
      <c r="A56" s="2">
        <v>571</v>
      </c>
      <c r="B56" s="4">
        <f>DAY(G56)</f>
        <v>12</v>
      </c>
      <c r="C56" s="4">
        <f>MONTH(G56)</f>
        <v>12</v>
      </c>
      <c r="D56" s="4">
        <f>YEAR(G56)</f>
        <v>2023</v>
      </c>
      <c r="E56" s="4" t="str">
        <f>TEXT(G56,"dddd")</f>
        <v>Tuesday</v>
      </c>
      <c r="F56" s="4" t="str">
        <f>TEXT(G56,"mmm")</f>
        <v>Dec</v>
      </c>
      <c r="G56" s="3">
        <v>45272</v>
      </c>
      <c r="H56" s="4" t="s">
        <v>89</v>
      </c>
      <c r="I56" s="4" t="s">
        <v>29</v>
      </c>
      <c r="J56" s="4" t="str" cm="1">
        <f t="array" ref="J56">_xlfn.IFS(K56&lt;30,"Young Adult",K56&lt;=50,"Adult",K56&gt;50,"Senior")</f>
        <v>Adult</v>
      </c>
      <c r="K56" s="4">
        <v>41</v>
      </c>
      <c r="L56" s="4" t="s">
        <v>9</v>
      </c>
      <c r="M56" s="4">
        <v>1</v>
      </c>
      <c r="N56" s="19">
        <v>50</v>
      </c>
      <c r="O56" s="15">
        <f>M56 * N56</f>
        <v>50</v>
      </c>
      <c r="P56" s="15">
        <f>O56*$S$3</f>
        <v>0.75</v>
      </c>
      <c r="Q56" s="15">
        <f>O56*$S$4</f>
        <v>1</v>
      </c>
    </row>
    <row r="57" spans="1:17">
      <c r="A57" s="2">
        <v>265</v>
      </c>
      <c r="B57" s="4">
        <f>DAY(G57)</f>
        <v>11</v>
      </c>
      <c r="C57" s="4">
        <f>MONTH(G57)</f>
        <v>12</v>
      </c>
      <c r="D57" s="4">
        <f>YEAR(G57)</f>
        <v>2023</v>
      </c>
      <c r="E57" s="4" t="str">
        <f>TEXT(G57,"dddd")</f>
        <v>Monday</v>
      </c>
      <c r="F57" s="4" t="str">
        <f>TEXT(G57,"mmm")</f>
        <v>Dec</v>
      </c>
      <c r="G57" s="3">
        <v>45271</v>
      </c>
      <c r="H57" s="4" t="s">
        <v>90</v>
      </c>
      <c r="I57" s="4" t="s">
        <v>24</v>
      </c>
      <c r="J57" s="4" t="str" cm="1">
        <f t="array" ref="J57">_xlfn.IFS(K57&lt;30,"Young Adult",K57&lt;=50,"Adult",K57&gt;50,"Senior")</f>
        <v>Senior</v>
      </c>
      <c r="K57" s="4">
        <v>55</v>
      </c>
      <c r="L57" s="4" t="s">
        <v>8</v>
      </c>
      <c r="M57" s="4">
        <v>3</v>
      </c>
      <c r="N57" s="19">
        <v>300</v>
      </c>
      <c r="O57" s="15">
        <f>M57 * N57</f>
        <v>900</v>
      </c>
      <c r="P57" s="15">
        <f>O57*$S$3</f>
        <v>13.5</v>
      </c>
      <c r="Q57" s="15">
        <f>O57*$S$4</f>
        <v>18</v>
      </c>
    </row>
    <row r="58" spans="1:17">
      <c r="A58" s="2">
        <v>586</v>
      </c>
      <c r="B58" s="4">
        <f>DAY(G58)</f>
        <v>11</v>
      </c>
      <c r="C58" s="4">
        <f>MONTH(G58)</f>
        <v>12</v>
      </c>
      <c r="D58" s="4">
        <f>YEAR(G58)</f>
        <v>2023</v>
      </c>
      <c r="E58" s="4" t="str">
        <f>TEXT(G58,"dddd")</f>
        <v>Monday</v>
      </c>
      <c r="F58" s="4" t="str">
        <f>TEXT(G58,"mmm")</f>
        <v>Dec</v>
      </c>
      <c r="G58" s="3">
        <v>45271</v>
      </c>
      <c r="H58" s="4" t="s">
        <v>91</v>
      </c>
      <c r="I58" s="4" t="s">
        <v>24</v>
      </c>
      <c r="J58" s="4" t="str" cm="1">
        <f t="array" ref="J58">_xlfn.IFS(K58&lt;30,"Young Adult",K58&lt;=50,"Adult",K58&gt;50,"Senior")</f>
        <v>Adult</v>
      </c>
      <c r="K58" s="4">
        <v>50</v>
      </c>
      <c r="L58" s="4" t="s">
        <v>9</v>
      </c>
      <c r="M58" s="4">
        <v>1</v>
      </c>
      <c r="N58" s="19">
        <v>50</v>
      </c>
      <c r="O58" s="15">
        <f>M58 * N58</f>
        <v>50</v>
      </c>
      <c r="P58" s="15">
        <f>O58*$S$3</f>
        <v>0.75</v>
      </c>
      <c r="Q58" s="15">
        <f>O58*$S$4</f>
        <v>1</v>
      </c>
    </row>
    <row r="59" spans="1:17">
      <c r="A59" s="2">
        <v>80</v>
      </c>
      <c r="B59" s="4">
        <f>DAY(G59)</f>
        <v>10</v>
      </c>
      <c r="C59" s="4">
        <f>MONTH(G59)</f>
        <v>12</v>
      </c>
      <c r="D59" s="4">
        <f>YEAR(G59)</f>
        <v>2023</v>
      </c>
      <c r="E59" s="4" t="str">
        <f>TEXT(G59,"dddd")</f>
        <v>Sunday</v>
      </c>
      <c r="F59" s="4" t="str">
        <f>TEXT(G59,"mmm")</f>
        <v>Dec</v>
      </c>
      <c r="G59" s="3">
        <v>45270</v>
      </c>
      <c r="H59" s="4" t="s">
        <v>92</v>
      </c>
      <c r="I59" s="4" t="s">
        <v>29</v>
      </c>
      <c r="J59" s="4" t="str" cm="1">
        <f t="array" ref="J59">_xlfn.IFS(K59&lt;30,"Young Adult",K59&lt;=50,"Adult",K59&gt;50,"Senior")</f>
        <v>Senior</v>
      </c>
      <c r="K59" s="4">
        <v>64</v>
      </c>
      <c r="L59" s="4" t="s">
        <v>8</v>
      </c>
      <c r="M59" s="4">
        <v>2</v>
      </c>
      <c r="N59" s="19">
        <v>30</v>
      </c>
      <c r="O59" s="15">
        <f>M59 * N59</f>
        <v>60</v>
      </c>
      <c r="P59" s="15">
        <f>O59*$S$3</f>
        <v>0.89999999999999991</v>
      </c>
      <c r="Q59" s="15">
        <f>O59*$S$4</f>
        <v>1.2</v>
      </c>
    </row>
    <row r="60" spans="1:17">
      <c r="A60" s="2">
        <v>361</v>
      </c>
      <c r="B60" s="4">
        <f>DAY(G60)</f>
        <v>10</v>
      </c>
      <c r="C60" s="4">
        <f>MONTH(G60)</f>
        <v>12</v>
      </c>
      <c r="D60" s="4">
        <f>YEAR(G60)</f>
        <v>2023</v>
      </c>
      <c r="E60" s="4" t="str">
        <f>TEXT(G60,"dddd")</f>
        <v>Sunday</v>
      </c>
      <c r="F60" s="4" t="str">
        <f>TEXT(G60,"mmm")</f>
        <v>Dec</v>
      </c>
      <c r="G60" s="3">
        <v>45270</v>
      </c>
      <c r="H60" s="4" t="s">
        <v>93</v>
      </c>
      <c r="I60" s="4" t="s">
        <v>29</v>
      </c>
      <c r="J60" s="4" t="str" cm="1">
        <f t="array" ref="J60">_xlfn.IFS(K60&lt;30,"Young Adult",K60&lt;=50,"Adult",K60&gt;50,"Senior")</f>
        <v>Adult</v>
      </c>
      <c r="K60" s="4">
        <v>34</v>
      </c>
      <c r="L60" s="4" t="s">
        <v>9</v>
      </c>
      <c r="M60" s="4">
        <v>4</v>
      </c>
      <c r="N60" s="19">
        <v>300</v>
      </c>
      <c r="O60" s="15">
        <f>M60 * N60</f>
        <v>1200</v>
      </c>
      <c r="P60" s="15">
        <f>O60*$S$3</f>
        <v>18</v>
      </c>
      <c r="Q60" s="15">
        <f>O60*$S$4</f>
        <v>24</v>
      </c>
    </row>
    <row r="61" spans="1:17">
      <c r="A61" s="2">
        <v>526</v>
      </c>
      <c r="B61" s="4">
        <f>DAY(G61)</f>
        <v>10</v>
      </c>
      <c r="C61" s="4">
        <f>MONTH(G61)</f>
        <v>12</v>
      </c>
      <c r="D61" s="4">
        <f>YEAR(G61)</f>
        <v>2023</v>
      </c>
      <c r="E61" s="4" t="str">
        <f>TEXT(G61,"dddd")</f>
        <v>Sunday</v>
      </c>
      <c r="F61" s="4" t="str">
        <f>TEXT(G61,"mmm")</f>
        <v>Dec</v>
      </c>
      <c r="G61" s="3">
        <v>45270</v>
      </c>
      <c r="H61" s="4" t="s">
        <v>94</v>
      </c>
      <c r="I61" s="4" t="s">
        <v>24</v>
      </c>
      <c r="J61" s="4" t="str" cm="1">
        <f t="array" ref="J61">_xlfn.IFS(K61&lt;30,"Young Adult",K61&lt;=50,"Adult",K61&gt;50,"Senior")</f>
        <v>Adult</v>
      </c>
      <c r="K61" s="4">
        <v>33</v>
      </c>
      <c r="L61" s="4" t="s">
        <v>8</v>
      </c>
      <c r="M61" s="4">
        <v>2</v>
      </c>
      <c r="N61" s="19">
        <v>50</v>
      </c>
      <c r="O61" s="15">
        <f>M61 * N61</f>
        <v>100</v>
      </c>
      <c r="P61" s="15">
        <f>O61*$S$3</f>
        <v>1.5</v>
      </c>
      <c r="Q61" s="15">
        <f>O61*$S$4</f>
        <v>2</v>
      </c>
    </row>
    <row r="62" spans="1:17">
      <c r="A62" s="2">
        <v>214</v>
      </c>
      <c r="B62" s="4">
        <f>DAY(G62)</f>
        <v>10</v>
      </c>
      <c r="C62" s="4">
        <f>MONTH(G62)</f>
        <v>12</v>
      </c>
      <c r="D62" s="4">
        <f>YEAR(G62)</f>
        <v>2023</v>
      </c>
      <c r="E62" s="4" t="str">
        <f>TEXT(G62,"dddd")</f>
        <v>Sunday</v>
      </c>
      <c r="F62" s="4" t="str">
        <f>TEXT(G62,"mmm")</f>
        <v>Dec</v>
      </c>
      <c r="G62" s="3">
        <v>45270</v>
      </c>
      <c r="H62" s="4" t="s">
        <v>95</v>
      </c>
      <c r="I62" s="4" t="s">
        <v>24</v>
      </c>
      <c r="J62" s="4" t="str" cm="1">
        <f t="array" ref="J62">_xlfn.IFS(K62&lt;30,"Young Adult",K62&lt;=50,"Adult",K62&gt;50,"Senior")</f>
        <v>Young Adult</v>
      </c>
      <c r="K62" s="4">
        <v>20</v>
      </c>
      <c r="L62" s="4" t="s">
        <v>7</v>
      </c>
      <c r="M62" s="4">
        <v>2</v>
      </c>
      <c r="N62" s="19">
        <v>30</v>
      </c>
      <c r="O62" s="15">
        <f>M62 * N62</f>
        <v>60</v>
      </c>
      <c r="P62" s="15">
        <f>O62*$S$3</f>
        <v>0.89999999999999991</v>
      </c>
      <c r="Q62" s="15">
        <f>O62*$S$4</f>
        <v>1.2</v>
      </c>
    </row>
    <row r="63" spans="1:17">
      <c r="A63" s="2">
        <v>355</v>
      </c>
      <c r="B63" s="4">
        <f>DAY(G63)</f>
        <v>9</v>
      </c>
      <c r="C63" s="4">
        <f>MONTH(G63)</f>
        <v>12</v>
      </c>
      <c r="D63" s="4">
        <f>YEAR(G63)</f>
        <v>2023</v>
      </c>
      <c r="E63" s="4" t="str">
        <f>TEXT(G63,"dddd")</f>
        <v>Saturday</v>
      </c>
      <c r="F63" s="4" t="str">
        <f>TEXT(G63,"mmm")</f>
        <v>Dec</v>
      </c>
      <c r="G63" s="3">
        <v>45269</v>
      </c>
      <c r="H63" s="4" t="s">
        <v>96</v>
      </c>
      <c r="I63" s="4" t="s">
        <v>29</v>
      </c>
      <c r="J63" s="4" t="str" cm="1">
        <f t="array" ref="J63">_xlfn.IFS(K63&lt;30,"Young Adult",K63&lt;=50,"Adult",K63&gt;50,"Senior")</f>
        <v>Senior</v>
      </c>
      <c r="K63" s="4">
        <v>55</v>
      </c>
      <c r="L63" s="4" t="s">
        <v>9</v>
      </c>
      <c r="M63" s="4">
        <v>1</v>
      </c>
      <c r="N63" s="19">
        <v>500</v>
      </c>
      <c r="O63" s="15">
        <f>M63 * N63</f>
        <v>500</v>
      </c>
      <c r="P63" s="15">
        <f>O63*$S$3</f>
        <v>7.5</v>
      </c>
      <c r="Q63" s="15">
        <f>O63*$S$4</f>
        <v>10</v>
      </c>
    </row>
    <row r="64" spans="1:17">
      <c r="A64" s="2">
        <v>468</v>
      </c>
      <c r="B64" s="4">
        <f>DAY(G64)</f>
        <v>9</v>
      </c>
      <c r="C64" s="4">
        <f>MONTH(G64)</f>
        <v>12</v>
      </c>
      <c r="D64" s="4">
        <f>YEAR(G64)</f>
        <v>2023</v>
      </c>
      <c r="E64" s="4" t="str">
        <f>TEXT(G64,"dddd")</f>
        <v>Saturday</v>
      </c>
      <c r="F64" s="4" t="str">
        <f>TEXT(G64,"mmm")</f>
        <v>Dec</v>
      </c>
      <c r="G64" s="3">
        <v>45269</v>
      </c>
      <c r="H64" s="4" t="s">
        <v>97</v>
      </c>
      <c r="I64" s="4" t="s">
        <v>24</v>
      </c>
      <c r="J64" s="4" t="str" cm="1">
        <f t="array" ref="J64">_xlfn.IFS(K64&lt;30,"Young Adult",K64&lt;=50,"Adult",K64&gt;50,"Senior")</f>
        <v>Adult</v>
      </c>
      <c r="K64" s="4">
        <v>40</v>
      </c>
      <c r="L64" s="4" t="s">
        <v>9</v>
      </c>
      <c r="M64" s="4">
        <v>1</v>
      </c>
      <c r="N64" s="19">
        <v>25</v>
      </c>
      <c r="O64" s="15">
        <f>M64 * N64</f>
        <v>25</v>
      </c>
      <c r="P64" s="15">
        <f>O64*$S$3</f>
        <v>0.375</v>
      </c>
      <c r="Q64" s="15">
        <f>O64*$S$4</f>
        <v>0.5</v>
      </c>
    </row>
    <row r="65" spans="1:17">
      <c r="A65" s="2">
        <v>700</v>
      </c>
      <c r="B65" s="4">
        <f>DAY(G65)</f>
        <v>9</v>
      </c>
      <c r="C65" s="4">
        <f>MONTH(G65)</f>
        <v>12</v>
      </c>
      <c r="D65" s="4">
        <f>YEAR(G65)</f>
        <v>2023</v>
      </c>
      <c r="E65" s="4" t="str">
        <f>TEXT(G65,"dddd")</f>
        <v>Saturday</v>
      </c>
      <c r="F65" s="4" t="str">
        <f>TEXT(G65,"mmm")</f>
        <v>Dec</v>
      </c>
      <c r="G65" s="3">
        <v>45269</v>
      </c>
      <c r="H65" s="4" t="s">
        <v>98</v>
      </c>
      <c r="I65" s="4" t="s">
        <v>24</v>
      </c>
      <c r="J65" s="4" t="str" cm="1">
        <f t="array" ref="J65">_xlfn.IFS(K65&lt;30,"Young Adult",K65&lt;=50,"Adult",K65&gt;50,"Senior")</f>
        <v>Adult</v>
      </c>
      <c r="K65" s="4">
        <v>36</v>
      </c>
      <c r="L65" s="4" t="s">
        <v>9</v>
      </c>
      <c r="M65" s="4">
        <v>4</v>
      </c>
      <c r="N65" s="19">
        <v>500</v>
      </c>
      <c r="O65" s="15">
        <f>M65 * N65</f>
        <v>2000</v>
      </c>
      <c r="P65" s="15">
        <f>O65*$S$3</f>
        <v>30</v>
      </c>
      <c r="Q65" s="15">
        <f>O65*$S$4</f>
        <v>40</v>
      </c>
    </row>
    <row r="66" spans="1:17">
      <c r="A66" s="2">
        <v>828</v>
      </c>
      <c r="B66" s="4">
        <f>DAY(G66)</f>
        <v>9</v>
      </c>
      <c r="C66" s="4">
        <f>MONTH(G66)</f>
        <v>12</v>
      </c>
      <c r="D66" s="4">
        <f>YEAR(G66)</f>
        <v>2023</v>
      </c>
      <c r="E66" s="4" t="str">
        <f>TEXT(G66,"dddd")</f>
        <v>Saturday</v>
      </c>
      <c r="F66" s="4" t="str">
        <f>TEXT(G66,"mmm")</f>
        <v>Dec</v>
      </c>
      <c r="G66" s="3">
        <v>45269</v>
      </c>
      <c r="H66" s="4" t="s">
        <v>99</v>
      </c>
      <c r="I66" s="4" t="s">
        <v>29</v>
      </c>
      <c r="J66" s="4" t="str" cm="1">
        <f t="array" ref="J66">_xlfn.IFS(K66&lt;30,"Young Adult",K66&lt;=50,"Adult",K66&gt;50,"Senior")</f>
        <v>Adult</v>
      </c>
      <c r="K66" s="4">
        <v>33</v>
      </c>
      <c r="L66" s="4" t="s">
        <v>9</v>
      </c>
      <c r="M66" s="4">
        <v>4</v>
      </c>
      <c r="N66" s="19">
        <v>300</v>
      </c>
      <c r="O66" s="15">
        <f>M66 * N66</f>
        <v>1200</v>
      </c>
      <c r="P66" s="15">
        <f>O66*$S$3</f>
        <v>18</v>
      </c>
      <c r="Q66" s="15">
        <f>O66*$S$4</f>
        <v>24</v>
      </c>
    </row>
    <row r="67" spans="1:17">
      <c r="A67" s="2">
        <v>752</v>
      </c>
      <c r="B67" s="4">
        <f>DAY(G67)</f>
        <v>9</v>
      </c>
      <c r="C67" s="4">
        <f>MONTH(G67)</f>
        <v>12</v>
      </c>
      <c r="D67" s="4">
        <f>YEAR(G67)</f>
        <v>2023</v>
      </c>
      <c r="E67" s="4" t="str">
        <f>TEXT(G67,"dddd")</f>
        <v>Saturday</v>
      </c>
      <c r="F67" s="4" t="str">
        <f>TEXT(G67,"mmm")</f>
        <v>Dec</v>
      </c>
      <c r="G67" s="3">
        <v>45269</v>
      </c>
      <c r="H67" s="4" t="s">
        <v>100</v>
      </c>
      <c r="I67" s="4" t="s">
        <v>24</v>
      </c>
      <c r="J67" s="4" t="str" cm="1">
        <f t="array" ref="J67">_xlfn.IFS(K67&lt;30,"Young Adult",K67&lt;=50,"Adult",K67&gt;50,"Senior")</f>
        <v>Young Adult</v>
      </c>
      <c r="K67" s="4">
        <v>29</v>
      </c>
      <c r="L67" s="4" t="s">
        <v>8</v>
      </c>
      <c r="M67" s="4">
        <v>2</v>
      </c>
      <c r="N67" s="19">
        <v>50</v>
      </c>
      <c r="O67" s="15">
        <f>M67 * N67</f>
        <v>100</v>
      </c>
      <c r="P67" s="15">
        <f>O67*$S$3</f>
        <v>1.5</v>
      </c>
      <c r="Q67" s="15">
        <f>O67*$S$4</f>
        <v>2</v>
      </c>
    </row>
    <row r="68" spans="1:17">
      <c r="A68" s="2">
        <v>244</v>
      </c>
      <c r="B68" s="4">
        <f>DAY(G68)</f>
        <v>9</v>
      </c>
      <c r="C68" s="4">
        <f>MONTH(G68)</f>
        <v>12</v>
      </c>
      <c r="D68" s="4">
        <f>YEAR(G68)</f>
        <v>2023</v>
      </c>
      <c r="E68" s="4" t="str">
        <f>TEXT(G68,"dddd")</f>
        <v>Saturday</v>
      </c>
      <c r="F68" s="4" t="str">
        <f>TEXT(G68,"mmm")</f>
        <v>Dec</v>
      </c>
      <c r="G68" s="3">
        <v>45269</v>
      </c>
      <c r="H68" s="4" t="s">
        <v>101</v>
      </c>
      <c r="I68" s="4" t="s">
        <v>24</v>
      </c>
      <c r="J68" s="4" t="str" cm="1">
        <f t="array" ref="J68">_xlfn.IFS(K68&lt;30,"Young Adult",K68&lt;=50,"Adult",K68&gt;50,"Senior")</f>
        <v>Young Adult</v>
      </c>
      <c r="K68" s="4">
        <v>28</v>
      </c>
      <c r="L68" s="4" t="s">
        <v>7</v>
      </c>
      <c r="M68" s="4">
        <v>2</v>
      </c>
      <c r="N68" s="19">
        <v>50</v>
      </c>
      <c r="O68" s="15">
        <f>M68 * N68</f>
        <v>100</v>
      </c>
      <c r="P68" s="15">
        <f>O68*$S$3</f>
        <v>1.5</v>
      </c>
      <c r="Q68" s="15">
        <f>O68*$S$4</f>
        <v>2</v>
      </c>
    </row>
    <row r="69" spans="1:17">
      <c r="A69" s="2">
        <v>540</v>
      </c>
      <c r="B69" s="4">
        <f>DAY(G69)</f>
        <v>8</v>
      </c>
      <c r="C69" s="4">
        <f>MONTH(G69)</f>
        <v>12</v>
      </c>
      <c r="D69" s="4">
        <f>YEAR(G69)</f>
        <v>2023</v>
      </c>
      <c r="E69" s="4" t="str">
        <f>TEXT(G69,"dddd")</f>
        <v>Friday</v>
      </c>
      <c r="F69" s="4" t="str">
        <f>TEXT(G69,"mmm")</f>
        <v>Dec</v>
      </c>
      <c r="G69" s="3">
        <v>45268</v>
      </c>
      <c r="H69" s="4" t="s">
        <v>102</v>
      </c>
      <c r="I69" s="4" t="s">
        <v>29</v>
      </c>
      <c r="J69" s="4" t="str" cm="1">
        <f t="array" ref="J69">_xlfn.IFS(K69&lt;30,"Young Adult",K69&lt;=50,"Adult",K69&gt;50,"Senior")</f>
        <v>Adult</v>
      </c>
      <c r="K69" s="4">
        <v>46</v>
      </c>
      <c r="L69" s="4" t="s">
        <v>9</v>
      </c>
      <c r="M69" s="4">
        <v>3</v>
      </c>
      <c r="N69" s="19">
        <v>300</v>
      </c>
      <c r="O69" s="15">
        <f>M69 * N69</f>
        <v>900</v>
      </c>
      <c r="P69" s="15">
        <f>O69*$S$3</f>
        <v>13.5</v>
      </c>
      <c r="Q69" s="15">
        <f>O69*$S$4</f>
        <v>18</v>
      </c>
    </row>
    <row r="70" spans="1:17">
      <c r="A70" s="2">
        <v>625</v>
      </c>
      <c r="B70" s="4">
        <f>DAY(G70)</f>
        <v>8</v>
      </c>
      <c r="C70" s="4">
        <f>MONTH(G70)</f>
        <v>12</v>
      </c>
      <c r="D70" s="4">
        <f>YEAR(G70)</f>
        <v>2023</v>
      </c>
      <c r="E70" s="4" t="str">
        <f>TEXT(G70,"dddd")</f>
        <v>Friday</v>
      </c>
      <c r="F70" s="4" t="str">
        <f>TEXT(G70,"mmm")</f>
        <v>Dec</v>
      </c>
      <c r="G70" s="3">
        <v>45268</v>
      </c>
      <c r="H70" s="4" t="s">
        <v>103</v>
      </c>
      <c r="I70" s="4" t="s">
        <v>24</v>
      </c>
      <c r="J70" s="4" t="str" cm="1">
        <f t="array" ref="J70">_xlfn.IFS(K70&lt;30,"Young Adult",K70&lt;=50,"Adult",K70&gt;50,"Senior")</f>
        <v>Adult</v>
      </c>
      <c r="K70" s="4">
        <v>31</v>
      </c>
      <c r="L70" s="4" t="s">
        <v>8</v>
      </c>
      <c r="M70" s="4">
        <v>1</v>
      </c>
      <c r="N70" s="19">
        <v>300</v>
      </c>
      <c r="O70" s="15">
        <f>M70 * N70</f>
        <v>300</v>
      </c>
      <c r="P70" s="15">
        <f>O70*$S$3</f>
        <v>4.5</v>
      </c>
      <c r="Q70" s="15">
        <f>O70*$S$4</f>
        <v>6</v>
      </c>
    </row>
    <row r="71" spans="1:17">
      <c r="A71" s="2">
        <v>392</v>
      </c>
      <c r="B71" s="4">
        <f>DAY(G71)</f>
        <v>8</v>
      </c>
      <c r="C71" s="4">
        <f>MONTH(G71)</f>
        <v>12</v>
      </c>
      <c r="D71" s="4">
        <f>YEAR(G71)</f>
        <v>2023</v>
      </c>
      <c r="E71" s="4" t="str">
        <f>TEXT(G71,"dddd")</f>
        <v>Friday</v>
      </c>
      <c r="F71" s="4" t="str">
        <f>TEXT(G71,"mmm")</f>
        <v>Dec</v>
      </c>
      <c r="G71" s="3">
        <v>45268</v>
      </c>
      <c r="H71" s="4" t="s">
        <v>104</v>
      </c>
      <c r="I71" s="4" t="s">
        <v>24</v>
      </c>
      <c r="J71" s="4" t="str" cm="1">
        <f t="array" ref="J71">_xlfn.IFS(K71&lt;30,"Young Adult",K71&lt;=50,"Adult",K71&gt;50,"Senior")</f>
        <v>Young Adult</v>
      </c>
      <c r="K71" s="4">
        <v>27</v>
      </c>
      <c r="L71" s="4" t="s">
        <v>8</v>
      </c>
      <c r="M71" s="4">
        <v>2</v>
      </c>
      <c r="N71" s="19">
        <v>300</v>
      </c>
      <c r="O71" s="15">
        <f>M71 * N71</f>
        <v>600</v>
      </c>
      <c r="P71" s="15">
        <f>O71*$S$3</f>
        <v>9</v>
      </c>
      <c r="Q71" s="15">
        <f>O71*$S$4</f>
        <v>12</v>
      </c>
    </row>
    <row r="72" spans="1:17">
      <c r="A72" s="2">
        <v>453</v>
      </c>
      <c r="B72" s="4">
        <f>DAY(G72)</f>
        <v>8</v>
      </c>
      <c r="C72" s="4">
        <f>MONTH(G72)</f>
        <v>12</v>
      </c>
      <c r="D72" s="4">
        <f>YEAR(G72)</f>
        <v>2023</v>
      </c>
      <c r="E72" s="4" t="str">
        <f>TEXT(G72,"dddd")</f>
        <v>Friday</v>
      </c>
      <c r="F72" s="4" t="str">
        <f>TEXT(G72,"mmm")</f>
        <v>Dec</v>
      </c>
      <c r="G72" s="3">
        <v>45268</v>
      </c>
      <c r="H72" s="4" t="s">
        <v>105</v>
      </c>
      <c r="I72" s="4" t="s">
        <v>29</v>
      </c>
      <c r="J72" s="4" t="str" cm="1">
        <f t="array" ref="J72">_xlfn.IFS(K72&lt;30,"Young Adult",K72&lt;=50,"Adult",K72&gt;50,"Senior")</f>
        <v>Young Adult</v>
      </c>
      <c r="K72" s="4">
        <v>26</v>
      </c>
      <c r="L72" s="4" t="s">
        <v>8</v>
      </c>
      <c r="M72" s="4">
        <v>2</v>
      </c>
      <c r="N72" s="19">
        <v>500</v>
      </c>
      <c r="O72" s="15">
        <f>M72 * N72</f>
        <v>1000</v>
      </c>
      <c r="P72" s="15">
        <f>O72*$S$3</f>
        <v>15</v>
      </c>
      <c r="Q72" s="15">
        <f>O72*$S$4</f>
        <v>20</v>
      </c>
    </row>
    <row r="73" spans="1:17">
      <c r="A73" s="2">
        <v>550</v>
      </c>
      <c r="B73" s="4">
        <f>DAY(G73)</f>
        <v>7</v>
      </c>
      <c r="C73" s="4">
        <f>MONTH(G73)</f>
        <v>12</v>
      </c>
      <c r="D73" s="4">
        <f>YEAR(G73)</f>
        <v>2023</v>
      </c>
      <c r="E73" s="4" t="str">
        <f>TEXT(G73,"dddd")</f>
        <v>Thursday</v>
      </c>
      <c r="F73" s="4" t="str">
        <f>TEXT(G73,"mmm")</f>
        <v>Dec</v>
      </c>
      <c r="G73" s="3">
        <v>45267</v>
      </c>
      <c r="H73" s="4" t="s">
        <v>106</v>
      </c>
      <c r="I73" s="4" t="s">
        <v>24</v>
      </c>
      <c r="J73" s="4" t="str" cm="1">
        <f t="array" ref="J73">_xlfn.IFS(K73&lt;30,"Young Adult",K73&lt;=50,"Adult",K73&gt;50,"Senior")</f>
        <v>Adult</v>
      </c>
      <c r="K73" s="4">
        <v>40</v>
      </c>
      <c r="L73" s="4" t="s">
        <v>8</v>
      </c>
      <c r="M73" s="4">
        <v>3</v>
      </c>
      <c r="N73" s="19">
        <v>300</v>
      </c>
      <c r="O73" s="15">
        <f>M73 * N73</f>
        <v>900</v>
      </c>
      <c r="P73" s="15">
        <f>O73*$S$3</f>
        <v>13.5</v>
      </c>
      <c r="Q73" s="15">
        <f>O73*$S$4</f>
        <v>18</v>
      </c>
    </row>
    <row r="74" spans="1:17">
      <c r="A74" s="2">
        <v>531</v>
      </c>
      <c r="B74" s="4">
        <f>DAY(G74)</f>
        <v>7</v>
      </c>
      <c r="C74" s="4">
        <f>MONTH(G74)</f>
        <v>12</v>
      </c>
      <c r="D74" s="4">
        <f>YEAR(G74)</f>
        <v>2023</v>
      </c>
      <c r="E74" s="4" t="str">
        <f>TEXT(G74,"dddd")</f>
        <v>Thursday</v>
      </c>
      <c r="F74" s="4" t="str">
        <f>TEXT(G74,"mmm")</f>
        <v>Dec</v>
      </c>
      <c r="G74" s="3">
        <v>45267</v>
      </c>
      <c r="H74" s="4" t="s">
        <v>107</v>
      </c>
      <c r="I74" s="4" t="s">
        <v>24</v>
      </c>
      <c r="J74" s="4" t="str" cm="1">
        <f t="array" ref="J74">_xlfn.IFS(K74&lt;30,"Young Adult",K74&lt;=50,"Adult",K74&gt;50,"Senior")</f>
        <v>Adult</v>
      </c>
      <c r="K74" s="4">
        <v>31</v>
      </c>
      <c r="L74" s="4" t="s">
        <v>9</v>
      </c>
      <c r="M74" s="4">
        <v>1</v>
      </c>
      <c r="N74" s="19">
        <v>500</v>
      </c>
      <c r="O74" s="15">
        <f>M74 * N74</f>
        <v>500</v>
      </c>
      <c r="P74" s="15">
        <f>O74*$S$3</f>
        <v>7.5</v>
      </c>
      <c r="Q74" s="15">
        <f>O74*$S$4</f>
        <v>10</v>
      </c>
    </row>
    <row r="75" spans="1:17">
      <c r="A75" s="2">
        <v>712</v>
      </c>
      <c r="B75" s="4">
        <f>DAY(G75)</f>
        <v>6</v>
      </c>
      <c r="C75" s="4">
        <f>MONTH(G75)</f>
        <v>12</v>
      </c>
      <c r="D75" s="4">
        <f>YEAR(G75)</f>
        <v>2023</v>
      </c>
      <c r="E75" s="4" t="str">
        <f>TEXT(G75,"dddd")</f>
        <v>Wednesday</v>
      </c>
      <c r="F75" s="4" t="str">
        <f>TEXT(G75,"mmm")</f>
        <v>Dec</v>
      </c>
      <c r="G75" s="3">
        <v>45266</v>
      </c>
      <c r="H75" s="4" t="s">
        <v>108</v>
      </c>
      <c r="I75" s="4" t="s">
        <v>29</v>
      </c>
      <c r="J75" s="4" t="str" cm="1">
        <f t="array" ref="J75">_xlfn.IFS(K75&lt;30,"Young Adult",K75&lt;=50,"Adult",K75&gt;50,"Senior")</f>
        <v>Senior</v>
      </c>
      <c r="K75" s="4">
        <v>57</v>
      </c>
      <c r="L75" s="4" t="s">
        <v>7</v>
      </c>
      <c r="M75" s="4">
        <v>2</v>
      </c>
      <c r="N75" s="19">
        <v>25</v>
      </c>
      <c r="O75" s="15">
        <f>M75 * N75</f>
        <v>50</v>
      </c>
      <c r="P75" s="15">
        <f>O75*$S$3</f>
        <v>0.75</v>
      </c>
      <c r="Q75" s="15">
        <f>O75*$S$4</f>
        <v>1</v>
      </c>
    </row>
    <row r="76" spans="1:17">
      <c r="A76" s="2">
        <v>395</v>
      </c>
      <c r="B76" s="4">
        <f>DAY(G76)</f>
        <v>6</v>
      </c>
      <c r="C76" s="4">
        <f>MONTH(G76)</f>
        <v>12</v>
      </c>
      <c r="D76" s="4">
        <f>YEAR(G76)</f>
        <v>2023</v>
      </c>
      <c r="E76" s="4" t="str">
        <f>TEXT(G76,"dddd")</f>
        <v>Wednesday</v>
      </c>
      <c r="F76" s="4" t="str">
        <f>TEXT(G76,"mmm")</f>
        <v>Dec</v>
      </c>
      <c r="G76" s="3">
        <v>45266</v>
      </c>
      <c r="H76" s="4" t="s">
        <v>109</v>
      </c>
      <c r="I76" s="4" t="s">
        <v>24</v>
      </c>
      <c r="J76" s="4" t="str" cm="1">
        <f t="array" ref="J76">_xlfn.IFS(K76&lt;30,"Young Adult",K76&lt;=50,"Adult",K76&gt;50,"Senior")</f>
        <v>Adult</v>
      </c>
      <c r="K76" s="4">
        <v>50</v>
      </c>
      <c r="L76" s="4" t="s">
        <v>9</v>
      </c>
      <c r="M76" s="4">
        <v>2</v>
      </c>
      <c r="N76" s="19">
        <v>500</v>
      </c>
      <c r="O76" s="15">
        <f>M76 * N76</f>
        <v>1000</v>
      </c>
      <c r="P76" s="15">
        <f>O76*$S$3</f>
        <v>15</v>
      </c>
      <c r="Q76" s="15">
        <f>O76*$S$4</f>
        <v>20</v>
      </c>
    </row>
    <row r="77" spans="1:17">
      <c r="A77" s="2">
        <v>535</v>
      </c>
      <c r="B77" s="4">
        <f>DAY(G77)</f>
        <v>6</v>
      </c>
      <c r="C77" s="4">
        <f>MONTH(G77)</f>
        <v>12</v>
      </c>
      <c r="D77" s="4">
        <f>YEAR(G77)</f>
        <v>2023</v>
      </c>
      <c r="E77" s="4" t="str">
        <f>TEXT(G77,"dddd")</f>
        <v>Wednesday</v>
      </c>
      <c r="F77" s="4" t="str">
        <f>TEXT(G77,"mmm")</f>
        <v>Dec</v>
      </c>
      <c r="G77" s="3">
        <v>45266</v>
      </c>
      <c r="H77" s="4" t="s">
        <v>110</v>
      </c>
      <c r="I77" s="4" t="s">
        <v>24</v>
      </c>
      <c r="J77" s="4" t="str" cm="1">
        <f t="array" ref="J77">_xlfn.IFS(K77&lt;30,"Young Adult",K77&lt;=50,"Adult",K77&gt;50,"Senior")</f>
        <v>Adult</v>
      </c>
      <c r="K77" s="4">
        <v>47</v>
      </c>
      <c r="L77" s="4" t="s">
        <v>7</v>
      </c>
      <c r="M77" s="4">
        <v>3</v>
      </c>
      <c r="N77" s="19">
        <v>30</v>
      </c>
      <c r="O77" s="15">
        <f>M77 * N77</f>
        <v>90</v>
      </c>
      <c r="P77" s="15">
        <f>O77*$S$3</f>
        <v>1.3499999999999999</v>
      </c>
      <c r="Q77" s="15">
        <f>O77*$S$4</f>
        <v>1.8</v>
      </c>
    </row>
    <row r="78" spans="1:17">
      <c r="A78" s="2">
        <v>580</v>
      </c>
      <c r="B78" s="4">
        <f>DAY(G78)</f>
        <v>6</v>
      </c>
      <c r="C78" s="4">
        <f>MONTH(G78)</f>
        <v>12</v>
      </c>
      <c r="D78" s="4">
        <f>YEAR(G78)</f>
        <v>2023</v>
      </c>
      <c r="E78" s="4" t="str">
        <f>TEXT(G78,"dddd")</f>
        <v>Wednesday</v>
      </c>
      <c r="F78" s="4" t="str">
        <f>TEXT(G78,"mmm")</f>
        <v>Dec</v>
      </c>
      <c r="G78" s="3">
        <v>45266</v>
      </c>
      <c r="H78" s="4" t="s">
        <v>111</v>
      </c>
      <c r="I78" s="4" t="s">
        <v>29</v>
      </c>
      <c r="J78" s="4" t="str" cm="1">
        <f t="array" ref="J78">_xlfn.IFS(K78&lt;30,"Young Adult",K78&lt;=50,"Adult",K78&gt;50,"Senior")</f>
        <v>Adult</v>
      </c>
      <c r="K78" s="4">
        <v>31</v>
      </c>
      <c r="L78" s="4" t="s">
        <v>8</v>
      </c>
      <c r="M78" s="4">
        <v>3</v>
      </c>
      <c r="N78" s="19">
        <v>500</v>
      </c>
      <c r="O78" s="15">
        <f>M78 * N78</f>
        <v>1500</v>
      </c>
      <c r="P78" s="15">
        <f>O78*$S$3</f>
        <v>22.5</v>
      </c>
      <c r="Q78" s="15">
        <f>O78*$S$4</f>
        <v>30</v>
      </c>
    </row>
    <row r="79" spans="1:17">
      <c r="A79" s="2">
        <v>868</v>
      </c>
      <c r="B79" s="4">
        <f>DAY(G79)</f>
        <v>6</v>
      </c>
      <c r="C79" s="4">
        <f>MONTH(G79)</f>
        <v>12</v>
      </c>
      <c r="D79" s="4">
        <f>YEAR(G79)</f>
        <v>2023</v>
      </c>
      <c r="E79" s="4" t="str">
        <f>TEXT(G79,"dddd")</f>
        <v>Wednesday</v>
      </c>
      <c r="F79" s="4" t="str">
        <f>TEXT(G79,"mmm")</f>
        <v>Dec</v>
      </c>
      <c r="G79" s="3">
        <v>45266</v>
      </c>
      <c r="H79" s="4" t="s">
        <v>112</v>
      </c>
      <c r="I79" s="4" t="s">
        <v>29</v>
      </c>
      <c r="J79" s="4" t="str" cm="1">
        <f t="array" ref="J79">_xlfn.IFS(K79&lt;30,"Young Adult",K79&lt;=50,"Adult",K79&gt;50,"Senior")</f>
        <v>Young Adult</v>
      </c>
      <c r="K79" s="4">
        <v>25</v>
      </c>
      <c r="L79" s="4" t="s">
        <v>9</v>
      </c>
      <c r="M79" s="4">
        <v>1</v>
      </c>
      <c r="N79" s="19">
        <v>300</v>
      </c>
      <c r="O79" s="15">
        <f>M79 * N79</f>
        <v>300</v>
      </c>
      <c r="P79" s="15">
        <f>O79*$S$3</f>
        <v>4.5</v>
      </c>
      <c r="Q79" s="15">
        <f>O79*$S$4</f>
        <v>6</v>
      </c>
    </row>
    <row r="80" spans="1:17">
      <c r="A80" s="2">
        <v>65</v>
      </c>
      <c r="B80" s="4">
        <f>DAY(G80)</f>
        <v>5</v>
      </c>
      <c r="C80" s="4">
        <f>MONTH(G80)</f>
        <v>12</v>
      </c>
      <c r="D80" s="4">
        <f>YEAR(G80)</f>
        <v>2023</v>
      </c>
      <c r="E80" s="4" t="str">
        <f>TEXT(G80,"dddd")</f>
        <v>Tuesday</v>
      </c>
      <c r="F80" s="4" t="str">
        <f>TEXT(G80,"mmm")</f>
        <v>Dec</v>
      </c>
      <c r="G80" s="3">
        <v>45265</v>
      </c>
      <c r="H80" s="4" t="s">
        <v>113</v>
      </c>
      <c r="I80" s="4" t="s">
        <v>24</v>
      </c>
      <c r="J80" s="4" t="str" cm="1">
        <f t="array" ref="J80">_xlfn.IFS(K80&lt;30,"Young Adult",K80&lt;=50,"Adult",K80&gt;50,"Senior")</f>
        <v>Senior</v>
      </c>
      <c r="K80" s="4">
        <v>51</v>
      </c>
      <c r="L80" s="4" t="s">
        <v>9</v>
      </c>
      <c r="M80" s="4">
        <v>4</v>
      </c>
      <c r="N80" s="19">
        <v>500</v>
      </c>
      <c r="O80" s="15">
        <f>M80 * N80</f>
        <v>2000</v>
      </c>
      <c r="P80" s="15">
        <f>O80*$S$3</f>
        <v>30</v>
      </c>
      <c r="Q80" s="15">
        <f>O80*$S$4</f>
        <v>40</v>
      </c>
    </row>
    <row r="81" spans="1:17">
      <c r="A81" s="2">
        <v>791</v>
      </c>
      <c r="B81" s="4">
        <f>DAY(G81)</f>
        <v>5</v>
      </c>
      <c r="C81" s="4">
        <f>MONTH(G81)</f>
        <v>12</v>
      </c>
      <c r="D81" s="4">
        <f>YEAR(G81)</f>
        <v>2023</v>
      </c>
      <c r="E81" s="4" t="str">
        <f>TEXT(G81,"dddd")</f>
        <v>Tuesday</v>
      </c>
      <c r="F81" s="4" t="str">
        <f>TEXT(G81,"mmm")</f>
        <v>Dec</v>
      </c>
      <c r="G81" s="3">
        <v>45265</v>
      </c>
      <c r="H81" s="4" t="s">
        <v>114</v>
      </c>
      <c r="I81" s="4" t="s">
        <v>29</v>
      </c>
      <c r="J81" s="4" t="str" cm="1">
        <f t="array" ref="J81">_xlfn.IFS(K81&lt;30,"Young Adult",K81&lt;=50,"Adult",K81&gt;50,"Senior")</f>
        <v>Senior</v>
      </c>
      <c r="K81" s="4">
        <v>51</v>
      </c>
      <c r="L81" s="4" t="s">
        <v>7</v>
      </c>
      <c r="M81" s="4">
        <v>1</v>
      </c>
      <c r="N81" s="19">
        <v>25</v>
      </c>
      <c r="O81" s="15">
        <f>M81 * N81</f>
        <v>25</v>
      </c>
      <c r="P81" s="15">
        <f>O81*$S$3</f>
        <v>0.375</v>
      </c>
      <c r="Q81" s="15">
        <f>O81*$S$4</f>
        <v>0.5</v>
      </c>
    </row>
    <row r="82" spans="1:17">
      <c r="A82" s="2">
        <v>999</v>
      </c>
      <c r="B82" s="4">
        <f>DAY(G82)</f>
        <v>5</v>
      </c>
      <c r="C82" s="4">
        <f>MONTH(G82)</f>
        <v>12</v>
      </c>
      <c r="D82" s="4">
        <f>YEAR(G82)</f>
        <v>2023</v>
      </c>
      <c r="E82" s="4" t="str">
        <f>TEXT(G82,"dddd")</f>
        <v>Tuesday</v>
      </c>
      <c r="F82" s="4" t="str">
        <f>TEXT(G82,"mmm")</f>
        <v>Dec</v>
      </c>
      <c r="G82" s="3">
        <v>45265</v>
      </c>
      <c r="H82" s="4" t="s">
        <v>115</v>
      </c>
      <c r="I82" s="4" t="s">
        <v>29</v>
      </c>
      <c r="J82" s="4" t="str" cm="1">
        <f t="array" ref="J82">_xlfn.IFS(K82&lt;30,"Young Adult",K82&lt;=50,"Adult",K82&gt;50,"Senior")</f>
        <v>Adult</v>
      </c>
      <c r="K82" s="4">
        <v>36</v>
      </c>
      <c r="L82" s="4" t="s">
        <v>9</v>
      </c>
      <c r="M82" s="4">
        <v>3</v>
      </c>
      <c r="N82" s="19">
        <v>50</v>
      </c>
      <c r="O82" s="15">
        <f>M82 * N82</f>
        <v>150</v>
      </c>
      <c r="P82" s="15">
        <f>O82*$S$3</f>
        <v>2.25</v>
      </c>
      <c r="Q82" s="15">
        <f>O82*$S$4</f>
        <v>3</v>
      </c>
    </row>
    <row r="83" spans="1:17">
      <c r="A83" s="2">
        <v>311</v>
      </c>
      <c r="B83" s="4">
        <f>DAY(G83)</f>
        <v>5</v>
      </c>
      <c r="C83" s="4">
        <f>MONTH(G83)</f>
        <v>12</v>
      </c>
      <c r="D83" s="4">
        <f>YEAR(G83)</f>
        <v>2023</v>
      </c>
      <c r="E83" s="4" t="str">
        <f>TEXT(G83,"dddd")</f>
        <v>Tuesday</v>
      </c>
      <c r="F83" s="4" t="str">
        <f>TEXT(G83,"mmm")</f>
        <v>Dec</v>
      </c>
      <c r="G83" s="3">
        <v>45265</v>
      </c>
      <c r="H83" s="4" t="s">
        <v>116</v>
      </c>
      <c r="I83" s="4" t="s">
        <v>29</v>
      </c>
      <c r="J83" s="4" t="str" cm="1">
        <f t="array" ref="J83">_xlfn.IFS(K83&lt;30,"Young Adult",K83&lt;=50,"Adult",K83&gt;50,"Senior")</f>
        <v>Adult</v>
      </c>
      <c r="K83" s="4">
        <v>32</v>
      </c>
      <c r="L83" s="4" t="s">
        <v>7</v>
      </c>
      <c r="M83" s="4">
        <v>4</v>
      </c>
      <c r="N83" s="19">
        <v>25</v>
      </c>
      <c r="O83" s="15">
        <f>M83 * N83</f>
        <v>100</v>
      </c>
      <c r="P83" s="15">
        <f>O83*$S$3</f>
        <v>1.5</v>
      </c>
      <c r="Q83" s="15">
        <f>O83*$S$4</f>
        <v>2</v>
      </c>
    </row>
    <row r="84" spans="1:17">
      <c r="A84" s="2">
        <v>971</v>
      </c>
      <c r="B84" s="4">
        <f>DAY(G84)</f>
        <v>5</v>
      </c>
      <c r="C84" s="4">
        <f>MONTH(G84)</f>
        <v>12</v>
      </c>
      <c r="D84" s="4">
        <f>YEAR(G84)</f>
        <v>2023</v>
      </c>
      <c r="E84" s="4" t="str">
        <f>TEXT(G84,"dddd")</f>
        <v>Tuesday</v>
      </c>
      <c r="F84" s="4" t="str">
        <f>TEXT(G84,"mmm")</f>
        <v>Dec</v>
      </c>
      <c r="G84" s="3">
        <v>45265</v>
      </c>
      <c r="H84" s="4" t="s">
        <v>117</v>
      </c>
      <c r="I84" s="4" t="s">
        <v>29</v>
      </c>
      <c r="J84" s="4" t="str" cm="1">
        <f t="array" ref="J84">_xlfn.IFS(K84&lt;30,"Young Adult",K84&lt;=50,"Adult",K84&gt;50,"Senior")</f>
        <v>Young Adult</v>
      </c>
      <c r="K84" s="4">
        <v>27</v>
      </c>
      <c r="L84" s="4" t="s">
        <v>9</v>
      </c>
      <c r="M84" s="4">
        <v>4</v>
      </c>
      <c r="N84" s="19">
        <v>50</v>
      </c>
      <c r="O84" s="15">
        <f>M84 * N84</f>
        <v>200</v>
      </c>
      <c r="P84" s="15">
        <f>O84*$S$3</f>
        <v>3</v>
      </c>
      <c r="Q84" s="15">
        <f>O84*$S$4</f>
        <v>4</v>
      </c>
    </row>
    <row r="85" spans="1:17">
      <c r="A85" s="2">
        <v>199</v>
      </c>
      <c r="B85" s="4">
        <f>DAY(G85)</f>
        <v>4</v>
      </c>
      <c r="C85" s="4">
        <f>MONTH(G85)</f>
        <v>12</v>
      </c>
      <c r="D85" s="4">
        <f>YEAR(G85)</f>
        <v>2023</v>
      </c>
      <c r="E85" s="4" t="str">
        <f>TEXT(G85,"dddd")</f>
        <v>Monday</v>
      </c>
      <c r="F85" s="4" t="str">
        <f>TEXT(G85,"mmm")</f>
        <v>Dec</v>
      </c>
      <c r="G85" s="3">
        <v>45264</v>
      </c>
      <c r="H85" s="4" t="s">
        <v>118</v>
      </c>
      <c r="I85" s="4" t="s">
        <v>24</v>
      </c>
      <c r="J85" s="4" t="str" cm="1">
        <f t="array" ref="J85">_xlfn.IFS(K85&lt;30,"Young Adult",K85&lt;=50,"Adult",K85&gt;50,"Senior")</f>
        <v>Adult</v>
      </c>
      <c r="K85" s="4">
        <v>45</v>
      </c>
      <c r="L85" s="4" t="s">
        <v>7</v>
      </c>
      <c r="M85" s="4">
        <v>3</v>
      </c>
      <c r="N85" s="19">
        <v>500</v>
      </c>
      <c r="O85" s="15">
        <f>M85 * N85</f>
        <v>1500</v>
      </c>
      <c r="P85" s="15">
        <f>O85*$S$3</f>
        <v>22.5</v>
      </c>
      <c r="Q85" s="15">
        <f>O85*$S$4</f>
        <v>30</v>
      </c>
    </row>
    <row r="86" spans="1:17">
      <c r="A86" s="2">
        <v>258</v>
      </c>
      <c r="B86" s="4">
        <f>DAY(G86)</f>
        <v>4</v>
      </c>
      <c r="C86" s="4">
        <f>MONTH(G86)</f>
        <v>12</v>
      </c>
      <c r="D86" s="4">
        <f>YEAR(G86)</f>
        <v>2023</v>
      </c>
      <c r="E86" s="4" t="str">
        <f>TEXT(G86,"dddd")</f>
        <v>Monday</v>
      </c>
      <c r="F86" s="4" t="str">
        <f>TEXT(G86,"mmm")</f>
        <v>Dec</v>
      </c>
      <c r="G86" s="3">
        <v>45264</v>
      </c>
      <c r="H86" s="4" t="s">
        <v>119</v>
      </c>
      <c r="I86" s="4" t="s">
        <v>29</v>
      </c>
      <c r="J86" s="4" t="str" cm="1">
        <f t="array" ref="J86">_xlfn.IFS(K86&lt;30,"Young Adult",K86&lt;=50,"Adult",K86&gt;50,"Senior")</f>
        <v>Adult</v>
      </c>
      <c r="K86" s="4">
        <v>37</v>
      </c>
      <c r="L86" s="4" t="s">
        <v>8</v>
      </c>
      <c r="M86" s="4">
        <v>1</v>
      </c>
      <c r="N86" s="19">
        <v>50</v>
      </c>
      <c r="O86" s="15">
        <f>M86 * N86</f>
        <v>50</v>
      </c>
      <c r="P86" s="15">
        <f>O86*$S$3</f>
        <v>0.75</v>
      </c>
      <c r="Q86" s="15">
        <f>O86*$S$4</f>
        <v>1</v>
      </c>
    </row>
    <row r="87" spans="1:17">
      <c r="A87" s="2">
        <v>576</v>
      </c>
      <c r="B87" s="4">
        <f>DAY(G87)</f>
        <v>4</v>
      </c>
      <c r="C87" s="4">
        <f>MONTH(G87)</f>
        <v>12</v>
      </c>
      <c r="D87" s="4">
        <f>YEAR(G87)</f>
        <v>2023</v>
      </c>
      <c r="E87" s="4" t="str">
        <f>TEXT(G87,"dddd")</f>
        <v>Monday</v>
      </c>
      <c r="F87" s="4" t="str">
        <f>TEXT(G87,"mmm")</f>
        <v>Dec</v>
      </c>
      <c r="G87" s="3">
        <v>45264</v>
      </c>
      <c r="H87" s="4" t="s">
        <v>120</v>
      </c>
      <c r="I87" s="4" t="s">
        <v>29</v>
      </c>
      <c r="J87" s="4" t="str" cm="1">
        <f t="array" ref="J87">_xlfn.IFS(K87&lt;30,"Young Adult",K87&lt;=50,"Adult",K87&gt;50,"Senior")</f>
        <v>Adult</v>
      </c>
      <c r="K87" s="4">
        <v>33</v>
      </c>
      <c r="L87" s="4" t="s">
        <v>7</v>
      </c>
      <c r="M87" s="4">
        <v>3</v>
      </c>
      <c r="N87" s="19">
        <v>50</v>
      </c>
      <c r="O87" s="15">
        <f>M87 * N87</f>
        <v>150</v>
      </c>
      <c r="P87" s="15">
        <f>O87*$S$3</f>
        <v>2.25</v>
      </c>
      <c r="Q87" s="15">
        <f>O87*$S$4</f>
        <v>3</v>
      </c>
    </row>
    <row r="88" spans="1:17">
      <c r="A88" s="2">
        <v>485</v>
      </c>
      <c r="B88" s="4">
        <f>DAY(G88)</f>
        <v>4</v>
      </c>
      <c r="C88" s="4">
        <f>MONTH(G88)</f>
        <v>12</v>
      </c>
      <c r="D88" s="4">
        <f>YEAR(G88)</f>
        <v>2023</v>
      </c>
      <c r="E88" s="4" t="str">
        <f>TEXT(G88,"dddd")</f>
        <v>Monday</v>
      </c>
      <c r="F88" s="4" t="str">
        <f>TEXT(G88,"mmm")</f>
        <v>Dec</v>
      </c>
      <c r="G88" s="3">
        <v>45264</v>
      </c>
      <c r="H88" s="4" t="s">
        <v>121</v>
      </c>
      <c r="I88" s="4" t="s">
        <v>24</v>
      </c>
      <c r="J88" s="4" t="str" cm="1">
        <f t="array" ref="J88">_xlfn.IFS(K88&lt;30,"Young Adult",K88&lt;=50,"Adult",K88&gt;50,"Senior")</f>
        <v>Young Adult</v>
      </c>
      <c r="K88" s="4">
        <v>24</v>
      </c>
      <c r="L88" s="4" t="s">
        <v>9</v>
      </c>
      <c r="M88" s="4">
        <v>1</v>
      </c>
      <c r="N88" s="19">
        <v>30</v>
      </c>
      <c r="O88" s="15">
        <f>M88 * N88</f>
        <v>30</v>
      </c>
      <c r="P88" s="15">
        <f>O88*$S$3</f>
        <v>0.44999999999999996</v>
      </c>
      <c r="Q88" s="15">
        <f>O88*$S$4</f>
        <v>0.6</v>
      </c>
    </row>
    <row r="89" spans="1:17">
      <c r="A89" s="2">
        <v>348</v>
      </c>
      <c r="B89" s="4">
        <f>DAY(G89)</f>
        <v>3</v>
      </c>
      <c r="C89" s="4">
        <f>MONTH(G89)</f>
        <v>12</v>
      </c>
      <c r="D89" s="4">
        <f>YEAR(G89)</f>
        <v>2023</v>
      </c>
      <c r="E89" s="4" t="str">
        <f>TEXT(G89,"dddd")</f>
        <v>Sunday</v>
      </c>
      <c r="F89" s="4" t="str">
        <f>TEXT(G89,"mmm")</f>
        <v>Dec</v>
      </c>
      <c r="G89" s="3">
        <v>45263</v>
      </c>
      <c r="H89" s="4" t="s">
        <v>122</v>
      </c>
      <c r="I89" s="4" t="s">
        <v>29</v>
      </c>
      <c r="J89" s="4" t="str" cm="1">
        <f t="array" ref="J89">_xlfn.IFS(K89&lt;30,"Young Adult",K89&lt;=50,"Adult",K89&gt;50,"Senior")</f>
        <v>Adult</v>
      </c>
      <c r="K89" s="4">
        <v>35</v>
      </c>
      <c r="L89" s="4" t="s">
        <v>9</v>
      </c>
      <c r="M89" s="4">
        <v>2</v>
      </c>
      <c r="N89" s="19">
        <v>300</v>
      </c>
      <c r="O89" s="15">
        <f>M89 * N89</f>
        <v>600</v>
      </c>
      <c r="P89" s="15">
        <f>O89*$S$3</f>
        <v>9</v>
      </c>
      <c r="Q89" s="15">
        <f>O89*$S$4</f>
        <v>12</v>
      </c>
    </row>
    <row r="90" spans="1:17">
      <c r="A90" s="2">
        <v>566</v>
      </c>
      <c r="B90" s="4">
        <f>DAY(G90)</f>
        <v>2</v>
      </c>
      <c r="C90" s="4">
        <f>MONTH(G90)</f>
        <v>12</v>
      </c>
      <c r="D90" s="4">
        <f>YEAR(G90)</f>
        <v>2023</v>
      </c>
      <c r="E90" s="4" t="str">
        <f>TEXT(G90,"dddd")</f>
        <v>Saturday</v>
      </c>
      <c r="F90" s="4" t="str">
        <f>TEXT(G90,"mmm")</f>
        <v>Dec</v>
      </c>
      <c r="G90" s="3">
        <v>45262</v>
      </c>
      <c r="H90" s="4" t="s">
        <v>123</v>
      </c>
      <c r="I90" s="4" t="s">
        <v>29</v>
      </c>
      <c r="J90" s="4" t="str" cm="1">
        <f t="array" ref="J90">_xlfn.IFS(K90&lt;30,"Young Adult",K90&lt;=50,"Adult",K90&gt;50,"Senior")</f>
        <v>Senior</v>
      </c>
      <c r="K90" s="4">
        <v>64</v>
      </c>
      <c r="L90" s="4" t="s">
        <v>8</v>
      </c>
      <c r="M90" s="4">
        <v>1</v>
      </c>
      <c r="N90" s="19">
        <v>30</v>
      </c>
      <c r="O90" s="15">
        <f>M90 * N90</f>
        <v>30</v>
      </c>
      <c r="P90" s="15">
        <f>O90*$S$3</f>
        <v>0.44999999999999996</v>
      </c>
      <c r="Q90" s="15">
        <f>O90*$S$4</f>
        <v>0.6</v>
      </c>
    </row>
    <row r="91" spans="1:17">
      <c r="A91" s="2">
        <v>608</v>
      </c>
      <c r="B91" s="4">
        <f>DAY(G91)</f>
        <v>2</v>
      </c>
      <c r="C91" s="4">
        <f>MONTH(G91)</f>
        <v>12</v>
      </c>
      <c r="D91" s="4">
        <f>YEAR(G91)</f>
        <v>2023</v>
      </c>
      <c r="E91" s="4" t="str">
        <f>TEXT(G91,"dddd")</f>
        <v>Saturday</v>
      </c>
      <c r="F91" s="4" t="str">
        <f>TEXT(G91,"mmm")</f>
        <v>Dec</v>
      </c>
      <c r="G91" s="3">
        <v>45262</v>
      </c>
      <c r="H91" s="4" t="s">
        <v>124</v>
      </c>
      <c r="I91" s="4" t="s">
        <v>29</v>
      </c>
      <c r="J91" s="4" t="str" cm="1">
        <f t="array" ref="J91">_xlfn.IFS(K91&lt;30,"Young Adult",K91&lt;=50,"Adult",K91&gt;50,"Senior")</f>
        <v>Senior</v>
      </c>
      <c r="K91" s="4">
        <v>55</v>
      </c>
      <c r="L91" s="4" t="s">
        <v>9</v>
      </c>
      <c r="M91" s="4">
        <v>3</v>
      </c>
      <c r="N91" s="19">
        <v>500</v>
      </c>
      <c r="O91" s="15">
        <f>M91 * N91</f>
        <v>1500</v>
      </c>
      <c r="P91" s="15">
        <f>O91*$S$3</f>
        <v>22.5</v>
      </c>
      <c r="Q91" s="15">
        <f>O91*$S$4</f>
        <v>30</v>
      </c>
    </row>
    <row r="92" spans="1:17">
      <c r="A92" s="2">
        <v>112</v>
      </c>
      <c r="B92" s="4">
        <f>DAY(G92)</f>
        <v>2</v>
      </c>
      <c r="C92" s="4">
        <f>MONTH(G92)</f>
        <v>12</v>
      </c>
      <c r="D92" s="4">
        <f>YEAR(G92)</f>
        <v>2023</v>
      </c>
      <c r="E92" s="4" t="str">
        <f>TEXT(G92,"dddd")</f>
        <v>Saturday</v>
      </c>
      <c r="F92" s="4" t="str">
        <f>TEXT(G92,"mmm")</f>
        <v>Dec</v>
      </c>
      <c r="G92" s="3">
        <v>45262</v>
      </c>
      <c r="H92" s="4" t="s">
        <v>125</v>
      </c>
      <c r="I92" s="4" t="s">
        <v>24</v>
      </c>
      <c r="J92" s="4" t="str" cm="1">
        <f t="array" ref="J92">_xlfn.IFS(K92&lt;30,"Young Adult",K92&lt;=50,"Adult",K92&gt;50,"Senior")</f>
        <v>Adult</v>
      </c>
      <c r="K92" s="4">
        <v>37</v>
      </c>
      <c r="L92" s="4" t="s">
        <v>8</v>
      </c>
      <c r="M92" s="4">
        <v>3</v>
      </c>
      <c r="N92" s="19">
        <v>500</v>
      </c>
      <c r="O92" s="15">
        <f>M92 * N92</f>
        <v>1500</v>
      </c>
      <c r="P92" s="15">
        <f>O92*$S$3</f>
        <v>22.5</v>
      </c>
      <c r="Q92" s="15">
        <f>O92*$S$4</f>
        <v>30</v>
      </c>
    </row>
    <row r="93" spans="1:17">
      <c r="A93" s="2">
        <v>389</v>
      </c>
      <c r="B93" s="4">
        <f>DAY(G93)</f>
        <v>1</v>
      </c>
      <c r="C93" s="4">
        <f>MONTH(G93)</f>
        <v>12</v>
      </c>
      <c r="D93" s="4">
        <f>YEAR(G93)</f>
        <v>2023</v>
      </c>
      <c r="E93" s="4" t="str">
        <f>TEXT(G93,"dddd")</f>
        <v>Friday</v>
      </c>
      <c r="F93" s="4" t="str">
        <f>TEXT(G93,"mmm")</f>
        <v>Dec</v>
      </c>
      <c r="G93" s="3">
        <v>45261</v>
      </c>
      <c r="H93" s="4" t="s">
        <v>126</v>
      </c>
      <c r="I93" s="4" t="s">
        <v>24</v>
      </c>
      <c r="J93" s="4" t="str" cm="1">
        <f t="array" ref="J93">_xlfn.IFS(K93&lt;30,"Young Adult",K93&lt;=50,"Adult",K93&gt;50,"Senior")</f>
        <v>Young Adult</v>
      </c>
      <c r="K93" s="4">
        <v>21</v>
      </c>
      <c r="L93" s="4" t="s">
        <v>8</v>
      </c>
      <c r="M93" s="4">
        <v>2</v>
      </c>
      <c r="N93" s="19">
        <v>25</v>
      </c>
      <c r="O93" s="15">
        <f>M93 * N93</f>
        <v>50</v>
      </c>
      <c r="P93" s="15">
        <f>O93*$S$3</f>
        <v>0.75</v>
      </c>
      <c r="Q93" s="15">
        <f>O93*$S$4</f>
        <v>1</v>
      </c>
    </row>
    <row r="94" spans="1:17">
      <c r="A94" s="2">
        <v>266</v>
      </c>
      <c r="B94" s="4">
        <f>DAY(G94)</f>
        <v>1</v>
      </c>
      <c r="C94" s="4">
        <f>MONTH(G94)</f>
        <v>12</v>
      </c>
      <c r="D94" s="4">
        <f>YEAR(G94)</f>
        <v>2023</v>
      </c>
      <c r="E94" s="4" t="str">
        <f>TEXT(G94,"dddd")</f>
        <v>Friday</v>
      </c>
      <c r="F94" s="4" t="str">
        <f>TEXT(G94,"mmm")</f>
        <v>Dec</v>
      </c>
      <c r="G94" s="3">
        <v>45261</v>
      </c>
      <c r="H94" s="4" t="s">
        <v>127</v>
      </c>
      <c r="I94" s="4" t="s">
        <v>29</v>
      </c>
      <c r="J94" s="4" t="str" cm="1">
        <f t="array" ref="J94">_xlfn.IFS(K94&lt;30,"Young Adult",K94&lt;=50,"Adult",K94&gt;50,"Senior")</f>
        <v>Young Adult</v>
      </c>
      <c r="K94" s="4">
        <v>19</v>
      </c>
      <c r="L94" s="4" t="s">
        <v>9</v>
      </c>
      <c r="M94" s="4">
        <v>2</v>
      </c>
      <c r="N94" s="19">
        <v>30</v>
      </c>
      <c r="O94" s="15">
        <f>M94 * N94</f>
        <v>60</v>
      </c>
      <c r="P94" s="15">
        <f>O94*$S$3</f>
        <v>0.89999999999999991</v>
      </c>
      <c r="Q94" s="15">
        <f>O94*$S$4</f>
        <v>1.2</v>
      </c>
    </row>
    <row r="95" spans="1:17">
      <c r="A95" s="2">
        <v>810</v>
      </c>
      <c r="B95" s="4">
        <f>DAY(G95)</f>
        <v>30</v>
      </c>
      <c r="C95" s="4">
        <f>MONTH(G95)</f>
        <v>11</v>
      </c>
      <c r="D95" s="4">
        <f>YEAR(G95)</f>
        <v>2023</v>
      </c>
      <c r="E95" s="4" t="str">
        <f>TEXT(G95,"dddd")</f>
        <v>Thursday</v>
      </c>
      <c r="F95" s="4" t="str">
        <f>TEXT(G95,"mmm")</f>
        <v>Nov</v>
      </c>
      <c r="G95" s="3">
        <v>45260</v>
      </c>
      <c r="H95" s="4" t="s">
        <v>128</v>
      </c>
      <c r="I95" s="4" t="s">
        <v>24</v>
      </c>
      <c r="J95" s="4" t="str" cm="1">
        <f t="array" ref="J95">_xlfn.IFS(K95&lt;30,"Young Adult",K95&lt;=50,"Adult",K95&gt;50,"Senior")</f>
        <v>Senior</v>
      </c>
      <c r="K95" s="4">
        <v>59</v>
      </c>
      <c r="L95" s="4" t="s">
        <v>9</v>
      </c>
      <c r="M95" s="4">
        <v>4</v>
      </c>
      <c r="N95" s="19">
        <v>25</v>
      </c>
      <c r="O95" s="15">
        <f>M95 * N95</f>
        <v>100</v>
      </c>
      <c r="P95" s="15">
        <f>O95*$S$3</f>
        <v>1.5</v>
      </c>
      <c r="Q95" s="15">
        <f>O95*$S$4</f>
        <v>2</v>
      </c>
    </row>
    <row r="96" spans="1:17">
      <c r="A96" s="2">
        <v>289</v>
      </c>
      <c r="B96" s="4">
        <f>DAY(G96)</f>
        <v>30</v>
      </c>
      <c r="C96" s="4">
        <f>MONTH(G96)</f>
        <v>11</v>
      </c>
      <c r="D96" s="4">
        <f>YEAR(G96)</f>
        <v>2023</v>
      </c>
      <c r="E96" s="4" t="str">
        <f>TEXT(G96,"dddd")</f>
        <v>Thursday</v>
      </c>
      <c r="F96" s="4" t="str">
        <f>TEXT(G96,"mmm")</f>
        <v>Nov</v>
      </c>
      <c r="G96" s="3">
        <v>45260</v>
      </c>
      <c r="H96" s="4" t="s">
        <v>129</v>
      </c>
      <c r="I96" s="4" t="s">
        <v>24</v>
      </c>
      <c r="J96" s="4" t="str" cm="1">
        <f t="array" ref="J96">_xlfn.IFS(K96&lt;30,"Young Adult",K96&lt;=50,"Adult",K96&gt;50,"Senior")</f>
        <v>Senior</v>
      </c>
      <c r="K96" s="4">
        <v>53</v>
      </c>
      <c r="L96" s="4" t="s">
        <v>9</v>
      </c>
      <c r="M96" s="4">
        <v>2</v>
      </c>
      <c r="N96" s="19">
        <v>30</v>
      </c>
      <c r="O96" s="15">
        <f>M96 * N96</f>
        <v>60</v>
      </c>
      <c r="P96" s="15">
        <f>O96*$S$3</f>
        <v>0.89999999999999991</v>
      </c>
      <c r="Q96" s="15">
        <f>O96*$S$4</f>
        <v>1.2</v>
      </c>
    </row>
    <row r="97" spans="1:17">
      <c r="A97" s="2">
        <v>741</v>
      </c>
      <c r="B97" s="4">
        <f>DAY(G97)</f>
        <v>30</v>
      </c>
      <c r="C97" s="4">
        <f>MONTH(G97)</f>
        <v>11</v>
      </c>
      <c r="D97" s="4">
        <f>YEAR(G97)</f>
        <v>2023</v>
      </c>
      <c r="E97" s="4" t="str">
        <f>TEXT(G97,"dddd")</f>
        <v>Thursday</v>
      </c>
      <c r="F97" s="4" t="str">
        <f>TEXT(G97,"mmm")</f>
        <v>Nov</v>
      </c>
      <c r="G97" s="3">
        <v>45260</v>
      </c>
      <c r="H97" s="4" t="s">
        <v>130</v>
      </c>
      <c r="I97" s="4" t="s">
        <v>24</v>
      </c>
      <c r="J97" s="4" t="str" cm="1">
        <f t="array" ref="J97">_xlfn.IFS(K97&lt;30,"Young Adult",K97&lt;=50,"Adult",K97&gt;50,"Senior")</f>
        <v>Adult</v>
      </c>
      <c r="K97" s="4">
        <v>48</v>
      </c>
      <c r="L97" s="4" t="s">
        <v>8</v>
      </c>
      <c r="M97" s="4">
        <v>1</v>
      </c>
      <c r="N97" s="19">
        <v>300</v>
      </c>
      <c r="O97" s="15">
        <f>M97 * N97</f>
        <v>300</v>
      </c>
      <c r="P97" s="15">
        <f>O97*$S$3</f>
        <v>4.5</v>
      </c>
      <c r="Q97" s="15">
        <f>O97*$S$4</f>
        <v>6</v>
      </c>
    </row>
    <row r="98" spans="1:17">
      <c r="A98" s="2">
        <v>215</v>
      </c>
      <c r="B98" s="4">
        <f>DAY(G98)</f>
        <v>29</v>
      </c>
      <c r="C98" s="4">
        <f>MONTH(G98)</f>
        <v>11</v>
      </c>
      <c r="D98" s="4">
        <f>YEAR(G98)</f>
        <v>2023</v>
      </c>
      <c r="E98" s="4" t="str">
        <f>TEXT(G98,"dddd")</f>
        <v>Wednesday</v>
      </c>
      <c r="F98" s="4" t="str">
        <f>TEXT(G98,"mmm")</f>
        <v>Nov</v>
      </c>
      <c r="G98" s="3">
        <v>45259</v>
      </c>
      <c r="H98" s="4" t="s">
        <v>131</v>
      </c>
      <c r="I98" s="4" t="s">
        <v>24</v>
      </c>
      <c r="J98" s="4" t="str" cm="1">
        <f t="array" ref="J98">_xlfn.IFS(K98&lt;30,"Young Adult",K98&lt;=50,"Adult",K98&gt;50,"Senior")</f>
        <v>Senior</v>
      </c>
      <c r="K98" s="4">
        <v>58</v>
      </c>
      <c r="L98" s="4" t="s">
        <v>8</v>
      </c>
      <c r="M98" s="4">
        <v>3</v>
      </c>
      <c r="N98" s="19">
        <v>500</v>
      </c>
      <c r="O98" s="15">
        <f>M98 * N98</f>
        <v>1500</v>
      </c>
      <c r="P98" s="15">
        <f>O98*$S$3</f>
        <v>22.5</v>
      </c>
      <c r="Q98" s="15">
        <f>O98*$S$4</f>
        <v>30</v>
      </c>
    </row>
    <row r="99" spans="1:17">
      <c r="A99" s="2">
        <v>24</v>
      </c>
      <c r="B99" s="4">
        <f>DAY(G99)</f>
        <v>29</v>
      </c>
      <c r="C99" s="4">
        <f>MONTH(G99)</f>
        <v>11</v>
      </c>
      <c r="D99" s="4">
        <f>YEAR(G99)</f>
        <v>2023</v>
      </c>
      <c r="E99" s="4" t="str">
        <f>TEXT(G99,"dddd")</f>
        <v>Wednesday</v>
      </c>
      <c r="F99" s="4" t="str">
        <f>TEXT(G99,"mmm")</f>
        <v>Nov</v>
      </c>
      <c r="G99" s="3">
        <v>45259</v>
      </c>
      <c r="H99" s="4" t="s">
        <v>132</v>
      </c>
      <c r="I99" s="4" t="s">
        <v>29</v>
      </c>
      <c r="J99" s="4" t="str" cm="1">
        <f t="array" ref="J99">_xlfn.IFS(K99&lt;30,"Young Adult",K99&lt;=50,"Adult",K99&gt;50,"Senior")</f>
        <v>Adult</v>
      </c>
      <c r="K99" s="4">
        <v>49</v>
      </c>
      <c r="L99" s="4" t="s">
        <v>8</v>
      </c>
      <c r="M99" s="4">
        <v>1</v>
      </c>
      <c r="N99" s="19">
        <v>300</v>
      </c>
      <c r="O99" s="15">
        <f>M99 * N99</f>
        <v>300</v>
      </c>
      <c r="P99" s="15">
        <f>O99*$S$3</f>
        <v>4.5</v>
      </c>
      <c r="Q99" s="15">
        <f>O99*$S$4</f>
        <v>6</v>
      </c>
    </row>
    <row r="100" spans="1:17">
      <c r="A100" s="2">
        <v>739</v>
      </c>
      <c r="B100" s="4">
        <f>DAY(G100)</f>
        <v>29</v>
      </c>
      <c r="C100" s="4">
        <f>MONTH(G100)</f>
        <v>11</v>
      </c>
      <c r="D100" s="4">
        <f>YEAR(G100)</f>
        <v>2023</v>
      </c>
      <c r="E100" s="4" t="str">
        <f>TEXT(G100,"dddd")</f>
        <v>Wednesday</v>
      </c>
      <c r="F100" s="4" t="str">
        <f>TEXT(G100,"mmm")</f>
        <v>Nov</v>
      </c>
      <c r="G100" s="3">
        <v>45259</v>
      </c>
      <c r="H100" s="4" t="s">
        <v>133</v>
      </c>
      <c r="I100" s="4" t="s">
        <v>24</v>
      </c>
      <c r="J100" s="4" t="str" cm="1">
        <f t="array" ref="J100">_xlfn.IFS(K100&lt;30,"Young Adult",K100&lt;=50,"Adult",K100&gt;50,"Senior")</f>
        <v>Adult</v>
      </c>
      <c r="K100" s="4">
        <v>36</v>
      </c>
      <c r="L100" s="4" t="s">
        <v>7</v>
      </c>
      <c r="M100" s="4">
        <v>1</v>
      </c>
      <c r="N100" s="19">
        <v>25</v>
      </c>
      <c r="O100" s="15">
        <f>M100 * N100</f>
        <v>25</v>
      </c>
      <c r="P100" s="15">
        <f>O100*$S$3</f>
        <v>0.375</v>
      </c>
      <c r="Q100" s="15">
        <f>O100*$S$4</f>
        <v>0.5</v>
      </c>
    </row>
    <row r="101" spans="1:17">
      <c r="A101" s="2">
        <v>795</v>
      </c>
      <c r="B101" s="4">
        <f>DAY(G101)</f>
        <v>28</v>
      </c>
      <c r="C101" s="4">
        <f>MONTH(G101)</f>
        <v>11</v>
      </c>
      <c r="D101" s="4">
        <f>YEAR(G101)</f>
        <v>2023</v>
      </c>
      <c r="E101" s="4" t="str">
        <f>TEXT(G101,"dddd")</f>
        <v>Tuesday</v>
      </c>
      <c r="F101" s="4" t="str">
        <f>TEXT(G101,"mmm")</f>
        <v>Nov</v>
      </c>
      <c r="G101" s="3">
        <v>45258</v>
      </c>
      <c r="H101" s="4" t="s">
        <v>134</v>
      </c>
      <c r="I101" s="4" t="s">
        <v>24</v>
      </c>
      <c r="J101" s="4" t="str" cm="1">
        <f t="array" ref="J101">_xlfn.IFS(K101&lt;30,"Young Adult",K101&lt;=50,"Adult",K101&gt;50,"Senior")</f>
        <v>Senior</v>
      </c>
      <c r="K101" s="4">
        <v>57</v>
      </c>
      <c r="L101" s="4" t="s">
        <v>9</v>
      </c>
      <c r="M101" s="4">
        <v>1</v>
      </c>
      <c r="N101" s="19">
        <v>300</v>
      </c>
      <c r="O101" s="15">
        <f>M101 * N101</f>
        <v>300</v>
      </c>
      <c r="P101" s="15">
        <f>O101*$S$3</f>
        <v>4.5</v>
      </c>
      <c r="Q101" s="15">
        <f>O101*$S$4</f>
        <v>6</v>
      </c>
    </row>
    <row r="102" spans="1:17">
      <c r="A102" s="2">
        <v>84</v>
      </c>
      <c r="B102" s="4">
        <f>DAY(G102)</f>
        <v>28</v>
      </c>
      <c r="C102" s="4">
        <f>MONTH(G102)</f>
        <v>11</v>
      </c>
      <c r="D102" s="4">
        <f>YEAR(G102)</f>
        <v>2023</v>
      </c>
      <c r="E102" s="4" t="str">
        <f>TEXT(G102,"dddd")</f>
        <v>Tuesday</v>
      </c>
      <c r="F102" s="4" t="str">
        <f>TEXT(G102,"mmm")</f>
        <v>Nov</v>
      </c>
      <c r="G102" s="3">
        <v>45258</v>
      </c>
      <c r="H102" s="4" t="s">
        <v>135</v>
      </c>
      <c r="I102" s="4" t="s">
        <v>29</v>
      </c>
      <c r="J102" s="4" t="str" cm="1">
        <f t="array" ref="J102">_xlfn.IFS(K102&lt;30,"Young Adult",K102&lt;=50,"Adult",K102&gt;50,"Senior")</f>
        <v>Adult</v>
      </c>
      <c r="K102" s="4">
        <v>38</v>
      </c>
      <c r="L102" s="4" t="s">
        <v>9</v>
      </c>
      <c r="M102" s="4">
        <v>3</v>
      </c>
      <c r="N102" s="19">
        <v>30</v>
      </c>
      <c r="O102" s="15">
        <f>M102 * N102</f>
        <v>90</v>
      </c>
      <c r="P102" s="15">
        <f>O102*$S$3</f>
        <v>1.3499999999999999</v>
      </c>
      <c r="Q102" s="15">
        <f>O102*$S$4</f>
        <v>1.8</v>
      </c>
    </row>
    <row r="103" spans="1:17">
      <c r="A103" s="2">
        <v>856</v>
      </c>
      <c r="B103" s="4">
        <f>DAY(G103)</f>
        <v>27</v>
      </c>
      <c r="C103" s="4">
        <f>MONTH(G103)</f>
        <v>11</v>
      </c>
      <c r="D103" s="4">
        <f>YEAR(G103)</f>
        <v>2023</v>
      </c>
      <c r="E103" s="4" t="str">
        <f>TEXT(G103,"dddd")</f>
        <v>Monday</v>
      </c>
      <c r="F103" s="4" t="str">
        <f>TEXT(G103,"mmm")</f>
        <v>Nov</v>
      </c>
      <c r="G103" s="3">
        <v>45257</v>
      </c>
      <c r="H103" s="4" t="s">
        <v>136</v>
      </c>
      <c r="I103" s="4" t="s">
        <v>24</v>
      </c>
      <c r="J103" s="4" t="str" cm="1">
        <f t="array" ref="J103">_xlfn.IFS(K103&lt;30,"Young Adult",K103&lt;=50,"Adult",K103&gt;50,"Senior")</f>
        <v>Senior</v>
      </c>
      <c r="K103" s="4">
        <v>54</v>
      </c>
      <c r="L103" s="4" t="s">
        <v>9</v>
      </c>
      <c r="M103" s="4">
        <v>4</v>
      </c>
      <c r="N103" s="19">
        <v>30</v>
      </c>
      <c r="O103" s="15">
        <f>M103 * N103</f>
        <v>120</v>
      </c>
      <c r="P103" s="15">
        <f>O103*$S$3</f>
        <v>1.7999999999999998</v>
      </c>
      <c r="Q103" s="15">
        <f>O103*$S$4</f>
        <v>2.4</v>
      </c>
    </row>
    <row r="104" spans="1:17">
      <c r="A104" s="2">
        <v>362</v>
      </c>
      <c r="B104" s="4">
        <f>DAY(G104)</f>
        <v>27</v>
      </c>
      <c r="C104" s="4">
        <f>MONTH(G104)</f>
        <v>11</v>
      </c>
      <c r="D104" s="4">
        <f>YEAR(G104)</f>
        <v>2023</v>
      </c>
      <c r="E104" s="4" t="str">
        <f>TEXT(G104,"dddd")</f>
        <v>Monday</v>
      </c>
      <c r="F104" s="4" t="str">
        <f>TEXT(G104,"mmm")</f>
        <v>Nov</v>
      </c>
      <c r="G104" s="3">
        <v>45257</v>
      </c>
      <c r="H104" s="4" t="s">
        <v>137</v>
      </c>
      <c r="I104" s="4" t="s">
        <v>24</v>
      </c>
      <c r="J104" s="4" t="str" cm="1">
        <f t="array" ref="J104">_xlfn.IFS(K104&lt;30,"Young Adult",K104&lt;=50,"Adult",K104&gt;50,"Senior")</f>
        <v>Adult</v>
      </c>
      <c r="K104" s="4">
        <v>50</v>
      </c>
      <c r="L104" s="4" t="s">
        <v>8</v>
      </c>
      <c r="M104" s="4">
        <v>1</v>
      </c>
      <c r="N104" s="19">
        <v>25</v>
      </c>
      <c r="O104" s="15">
        <f>M104 * N104</f>
        <v>25</v>
      </c>
      <c r="P104" s="15">
        <f>O104*$S$3</f>
        <v>0.375</v>
      </c>
      <c r="Q104" s="15">
        <f>O104*$S$4</f>
        <v>0.5</v>
      </c>
    </row>
    <row r="105" spans="1:17">
      <c r="A105" s="2">
        <v>267</v>
      </c>
      <c r="B105" s="4">
        <f>DAY(G105)</f>
        <v>27</v>
      </c>
      <c r="C105" s="4">
        <f>MONTH(G105)</f>
        <v>11</v>
      </c>
      <c r="D105" s="4">
        <f>YEAR(G105)</f>
        <v>2023</v>
      </c>
      <c r="E105" s="4" t="str">
        <f>TEXT(G105,"dddd")</f>
        <v>Monday</v>
      </c>
      <c r="F105" s="4" t="str">
        <f>TEXT(G105,"mmm")</f>
        <v>Nov</v>
      </c>
      <c r="G105" s="3">
        <v>45257</v>
      </c>
      <c r="H105" s="4" t="s">
        <v>138</v>
      </c>
      <c r="I105" s="4" t="s">
        <v>29</v>
      </c>
      <c r="J105" s="4" t="str" cm="1">
        <f t="array" ref="J105">_xlfn.IFS(K105&lt;30,"Young Adult",K105&lt;=50,"Adult",K105&gt;50,"Senior")</f>
        <v>Adult</v>
      </c>
      <c r="K105" s="4">
        <v>32</v>
      </c>
      <c r="L105" s="4" t="s">
        <v>7</v>
      </c>
      <c r="M105" s="4">
        <v>3</v>
      </c>
      <c r="N105" s="19">
        <v>30</v>
      </c>
      <c r="O105" s="15">
        <f>M105 * N105</f>
        <v>90</v>
      </c>
      <c r="P105" s="15">
        <f>O105*$S$3</f>
        <v>1.3499999999999999</v>
      </c>
      <c r="Q105" s="15">
        <f>O105*$S$4</f>
        <v>1.8</v>
      </c>
    </row>
    <row r="106" spans="1:17">
      <c r="A106" s="2">
        <v>115</v>
      </c>
      <c r="B106" s="4">
        <f>DAY(G106)</f>
        <v>26</v>
      </c>
      <c r="C106" s="4">
        <f>MONTH(G106)</f>
        <v>11</v>
      </c>
      <c r="D106" s="4">
        <f>YEAR(G106)</f>
        <v>2023</v>
      </c>
      <c r="E106" s="4" t="str">
        <f>TEXT(G106,"dddd")</f>
        <v>Sunday</v>
      </c>
      <c r="F106" s="4" t="str">
        <f>TEXT(G106,"mmm")</f>
        <v>Nov</v>
      </c>
      <c r="G106" s="3">
        <v>45256</v>
      </c>
      <c r="H106" s="4" t="s">
        <v>139</v>
      </c>
      <c r="I106" s="4" t="s">
        <v>24</v>
      </c>
      <c r="J106" s="4" t="str" cm="1">
        <f t="array" ref="J106">_xlfn.IFS(K106&lt;30,"Young Adult",K106&lt;=50,"Adult",K106&gt;50,"Senior")</f>
        <v>Senior</v>
      </c>
      <c r="K106" s="4">
        <v>51</v>
      </c>
      <c r="L106" s="4" t="s">
        <v>8</v>
      </c>
      <c r="M106" s="4">
        <v>3</v>
      </c>
      <c r="N106" s="19">
        <v>500</v>
      </c>
      <c r="O106" s="15">
        <f>M106 * N106</f>
        <v>1500</v>
      </c>
      <c r="P106" s="15">
        <f>O106*$S$3</f>
        <v>22.5</v>
      </c>
      <c r="Q106" s="15">
        <f>O106*$S$4</f>
        <v>30</v>
      </c>
    </row>
    <row r="107" spans="1:17">
      <c r="A107" s="2">
        <v>715</v>
      </c>
      <c r="B107" s="4">
        <f>DAY(G107)</f>
        <v>26</v>
      </c>
      <c r="C107" s="4">
        <f>MONTH(G107)</f>
        <v>11</v>
      </c>
      <c r="D107" s="4">
        <f>YEAR(G107)</f>
        <v>2023</v>
      </c>
      <c r="E107" s="4" t="str">
        <f>TEXT(G107,"dddd")</f>
        <v>Sunday</v>
      </c>
      <c r="F107" s="4" t="str">
        <f>TEXT(G107,"mmm")</f>
        <v>Nov</v>
      </c>
      <c r="G107" s="3">
        <v>45256</v>
      </c>
      <c r="H107" s="4" t="s">
        <v>140</v>
      </c>
      <c r="I107" s="4" t="s">
        <v>29</v>
      </c>
      <c r="J107" s="4" t="str" cm="1">
        <f t="array" ref="J107">_xlfn.IFS(K107&lt;30,"Young Adult",K107&lt;=50,"Adult",K107&gt;50,"Senior")</f>
        <v>Adult</v>
      </c>
      <c r="K107" s="4">
        <v>42</v>
      </c>
      <c r="L107" s="4" t="s">
        <v>7</v>
      </c>
      <c r="M107" s="4">
        <v>4</v>
      </c>
      <c r="N107" s="19">
        <v>25</v>
      </c>
      <c r="O107" s="15">
        <f>M107 * N107</f>
        <v>100</v>
      </c>
      <c r="P107" s="15">
        <f>O107*$S$3</f>
        <v>1.5</v>
      </c>
      <c r="Q107" s="15">
        <f>O107*$S$4</f>
        <v>2</v>
      </c>
    </row>
    <row r="108" spans="1:17">
      <c r="A108" s="2">
        <v>156</v>
      </c>
      <c r="B108" s="4">
        <f>DAY(G108)</f>
        <v>25</v>
      </c>
      <c r="C108" s="4">
        <f>MONTH(G108)</f>
        <v>11</v>
      </c>
      <c r="D108" s="4">
        <f>YEAR(G108)</f>
        <v>2023</v>
      </c>
      <c r="E108" s="4" t="str">
        <f>TEXT(G108,"dddd")</f>
        <v>Saturday</v>
      </c>
      <c r="F108" s="4" t="str">
        <f>TEXT(G108,"mmm")</f>
        <v>Nov</v>
      </c>
      <c r="G108" s="3">
        <v>45255</v>
      </c>
      <c r="H108" s="4" t="s">
        <v>141</v>
      </c>
      <c r="I108" s="4" t="s">
        <v>29</v>
      </c>
      <c r="J108" s="4" t="str" cm="1">
        <f t="array" ref="J108">_xlfn.IFS(K108&lt;30,"Young Adult",K108&lt;=50,"Adult",K108&gt;50,"Senior")</f>
        <v>Adult</v>
      </c>
      <c r="K108" s="4">
        <v>43</v>
      </c>
      <c r="L108" s="4" t="s">
        <v>8</v>
      </c>
      <c r="M108" s="4">
        <v>4</v>
      </c>
      <c r="N108" s="19">
        <v>25</v>
      </c>
      <c r="O108" s="15">
        <f>M108 * N108</f>
        <v>100</v>
      </c>
      <c r="P108" s="15">
        <f>O108*$S$3</f>
        <v>1.5</v>
      </c>
      <c r="Q108" s="15">
        <f>O108*$S$4</f>
        <v>2</v>
      </c>
    </row>
    <row r="109" spans="1:17">
      <c r="A109" s="2">
        <v>493</v>
      </c>
      <c r="B109" s="4">
        <f>DAY(G109)</f>
        <v>25</v>
      </c>
      <c r="C109" s="4">
        <f>MONTH(G109)</f>
        <v>11</v>
      </c>
      <c r="D109" s="4">
        <f>YEAR(G109)</f>
        <v>2023</v>
      </c>
      <c r="E109" s="4" t="str">
        <f>TEXT(G109,"dddd")</f>
        <v>Saturday</v>
      </c>
      <c r="F109" s="4" t="str">
        <f>TEXT(G109,"mmm")</f>
        <v>Nov</v>
      </c>
      <c r="G109" s="3">
        <v>45255</v>
      </c>
      <c r="H109" s="4" t="s">
        <v>142</v>
      </c>
      <c r="I109" s="4" t="s">
        <v>24</v>
      </c>
      <c r="J109" s="4" t="str" cm="1">
        <f t="array" ref="J109">_xlfn.IFS(K109&lt;30,"Young Adult",K109&lt;=50,"Adult",K109&gt;50,"Senior")</f>
        <v>Adult</v>
      </c>
      <c r="K109" s="4">
        <v>41</v>
      </c>
      <c r="L109" s="4" t="s">
        <v>7</v>
      </c>
      <c r="M109" s="4">
        <v>2</v>
      </c>
      <c r="N109" s="19">
        <v>25</v>
      </c>
      <c r="O109" s="15">
        <f>M109 * N109</f>
        <v>50</v>
      </c>
      <c r="P109" s="15">
        <f>O109*$S$3</f>
        <v>0.75</v>
      </c>
      <c r="Q109" s="15">
        <f>O109*$S$4</f>
        <v>1</v>
      </c>
    </row>
    <row r="110" spans="1:17">
      <c r="A110" s="2">
        <v>171</v>
      </c>
      <c r="B110" s="4">
        <f>DAY(G110)</f>
        <v>24</v>
      </c>
      <c r="C110" s="4">
        <f>MONTH(G110)</f>
        <v>11</v>
      </c>
      <c r="D110" s="4">
        <f>YEAR(G110)</f>
        <v>2023</v>
      </c>
      <c r="E110" s="4" t="str">
        <f>TEXT(G110,"dddd")</f>
        <v>Friday</v>
      </c>
      <c r="F110" s="4" t="str">
        <f>TEXT(G110,"mmm")</f>
        <v>Nov</v>
      </c>
      <c r="G110" s="3">
        <v>45254</v>
      </c>
      <c r="H110" s="4" t="s">
        <v>143</v>
      </c>
      <c r="I110" s="4" t="s">
        <v>29</v>
      </c>
      <c r="J110" s="4" t="str" cm="1">
        <f t="array" ref="J110">_xlfn.IFS(K110&lt;30,"Young Adult",K110&lt;=50,"Adult",K110&gt;50,"Senior")</f>
        <v>Senior</v>
      </c>
      <c r="K110" s="4">
        <v>52</v>
      </c>
      <c r="L110" s="4" t="s">
        <v>8</v>
      </c>
      <c r="M110" s="4">
        <v>3</v>
      </c>
      <c r="N110" s="19">
        <v>300</v>
      </c>
      <c r="O110" s="15">
        <f>M110 * N110</f>
        <v>900</v>
      </c>
      <c r="P110" s="15">
        <f>O110*$S$3</f>
        <v>13.5</v>
      </c>
      <c r="Q110" s="15">
        <f>O110*$S$4</f>
        <v>18</v>
      </c>
    </row>
    <row r="111" spans="1:17">
      <c r="A111" s="2">
        <v>1</v>
      </c>
      <c r="B111" s="4">
        <f>DAY(G111)</f>
        <v>24</v>
      </c>
      <c r="C111" s="4">
        <f>MONTH(G111)</f>
        <v>11</v>
      </c>
      <c r="D111" s="4">
        <f>YEAR(G111)</f>
        <v>2023</v>
      </c>
      <c r="E111" s="4" t="str">
        <f>TEXT(G111,"ddd")</f>
        <v>Fri</v>
      </c>
      <c r="F111" s="4" t="str">
        <f>TEXT(G111,"mmm")</f>
        <v>Nov</v>
      </c>
      <c r="G111" s="3">
        <v>45254</v>
      </c>
      <c r="H111" s="4" t="s">
        <v>144</v>
      </c>
      <c r="I111" s="4" t="s">
        <v>24</v>
      </c>
      <c r="J111" s="4" t="str" cm="1">
        <f t="array" ref="J111">_xlfn.IFS(K111&lt;30,"Young Adult",K111&lt;=50,"Adult",K111&gt;50,"Senior")</f>
        <v>Adult</v>
      </c>
      <c r="K111" s="4">
        <v>34</v>
      </c>
      <c r="L111" s="4" t="s">
        <v>7</v>
      </c>
      <c r="M111" s="4">
        <v>3</v>
      </c>
      <c r="N111" s="19">
        <v>50</v>
      </c>
      <c r="O111" s="15">
        <f>M111 * N111</f>
        <v>150</v>
      </c>
      <c r="P111" s="15">
        <f>O111*$S$3</f>
        <v>2.25</v>
      </c>
      <c r="Q111" s="15">
        <f>O111*$S$4</f>
        <v>3</v>
      </c>
    </row>
    <row r="112" spans="1:17">
      <c r="A112" s="2">
        <v>95</v>
      </c>
      <c r="B112" s="4">
        <f>DAY(G112)</f>
        <v>24</v>
      </c>
      <c r="C112" s="4">
        <f>MONTH(G112)</f>
        <v>11</v>
      </c>
      <c r="D112" s="4">
        <f>YEAR(G112)</f>
        <v>2023</v>
      </c>
      <c r="E112" s="4" t="str">
        <f>TEXT(G112,"dddd")</f>
        <v>Friday</v>
      </c>
      <c r="F112" s="4" t="str">
        <f>TEXT(G112,"mmm")</f>
        <v>Nov</v>
      </c>
      <c r="G112" s="3">
        <v>45254</v>
      </c>
      <c r="H112" s="4" t="s">
        <v>145</v>
      </c>
      <c r="I112" s="4" t="s">
        <v>29</v>
      </c>
      <c r="J112" s="4" t="str" cm="1">
        <f t="array" ref="J112">_xlfn.IFS(K112&lt;30,"Young Adult",K112&lt;=50,"Adult",K112&gt;50,"Senior")</f>
        <v>Adult</v>
      </c>
      <c r="K112" s="4">
        <v>32</v>
      </c>
      <c r="L112" s="4" t="s">
        <v>8</v>
      </c>
      <c r="M112" s="4">
        <v>2</v>
      </c>
      <c r="N112" s="19">
        <v>30</v>
      </c>
      <c r="O112" s="15">
        <f>M112 * N112</f>
        <v>60</v>
      </c>
      <c r="P112" s="15">
        <f>O112*$S$3</f>
        <v>0.89999999999999991</v>
      </c>
      <c r="Q112" s="15">
        <f>O112*$S$4</f>
        <v>1.2</v>
      </c>
    </row>
    <row r="113" spans="1:17">
      <c r="A113" s="2">
        <v>424</v>
      </c>
      <c r="B113" s="4">
        <f>DAY(G113)</f>
        <v>23</v>
      </c>
      <c r="C113" s="4">
        <f>MONTH(G113)</f>
        <v>11</v>
      </c>
      <c r="D113" s="4">
        <f>YEAR(G113)</f>
        <v>2023</v>
      </c>
      <c r="E113" s="4" t="str">
        <f>TEXT(G113,"dddd")</f>
        <v>Thursday</v>
      </c>
      <c r="F113" s="4" t="str">
        <f>TEXT(G113,"mmm")</f>
        <v>Nov</v>
      </c>
      <c r="G113" s="3">
        <v>45253</v>
      </c>
      <c r="H113" s="4" t="s">
        <v>146</v>
      </c>
      <c r="I113" s="4" t="s">
        <v>24</v>
      </c>
      <c r="J113" s="4" t="str" cm="1">
        <f t="array" ref="J113">_xlfn.IFS(K113&lt;30,"Young Adult",K113&lt;=50,"Adult",K113&gt;50,"Senior")</f>
        <v>Senior</v>
      </c>
      <c r="K113" s="4">
        <v>57</v>
      </c>
      <c r="L113" s="4" t="s">
        <v>7</v>
      </c>
      <c r="M113" s="4">
        <v>4</v>
      </c>
      <c r="N113" s="19">
        <v>300</v>
      </c>
      <c r="O113" s="15">
        <f>M113 * N113</f>
        <v>1200</v>
      </c>
      <c r="P113" s="15">
        <f>O113*$S$3</f>
        <v>18</v>
      </c>
      <c r="Q113" s="15">
        <f>O113*$S$4</f>
        <v>24</v>
      </c>
    </row>
    <row r="114" spans="1:17">
      <c r="A114" s="2">
        <v>918</v>
      </c>
      <c r="B114" s="4">
        <f>DAY(G114)</f>
        <v>23</v>
      </c>
      <c r="C114" s="4">
        <f>MONTH(G114)</f>
        <v>11</v>
      </c>
      <c r="D114" s="4">
        <f>YEAR(G114)</f>
        <v>2023</v>
      </c>
      <c r="E114" s="4" t="str">
        <f>TEXT(G114,"dddd")</f>
        <v>Thursday</v>
      </c>
      <c r="F114" s="4" t="str">
        <f>TEXT(G114,"mmm")</f>
        <v>Nov</v>
      </c>
      <c r="G114" s="3">
        <v>45253</v>
      </c>
      <c r="H114" s="4" t="s">
        <v>147</v>
      </c>
      <c r="I114" s="4" t="s">
        <v>29</v>
      </c>
      <c r="J114" s="4" t="str" cm="1">
        <f t="array" ref="J114">_xlfn.IFS(K114&lt;30,"Young Adult",K114&lt;=50,"Adult",K114&gt;50,"Senior")</f>
        <v>Adult</v>
      </c>
      <c r="K114" s="4">
        <v>42</v>
      </c>
      <c r="L114" s="4" t="s">
        <v>9</v>
      </c>
      <c r="M114" s="4">
        <v>3</v>
      </c>
      <c r="N114" s="19">
        <v>30</v>
      </c>
      <c r="O114" s="15">
        <f>M114 * N114</f>
        <v>90</v>
      </c>
      <c r="P114" s="15">
        <f>O114*$S$3</f>
        <v>1.3499999999999999</v>
      </c>
      <c r="Q114" s="15">
        <f>O114*$S$4</f>
        <v>1.8</v>
      </c>
    </row>
    <row r="115" spans="1:17">
      <c r="A115" s="2">
        <v>641</v>
      </c>
      <c r="B115" s="4">
        <f>DAY(G115)</f>
        <v>23</v>
      </c>
      <c r="C115" s="4">
        <f>MONTH(G115)</f>
        <v>11</v>
      </c>
      <c r="D115" s="4">
        <f>YEAR(G115)</f>
        <v>2023</v>
      </c>
      <c r="E115" s="4" t="str">
        <f>TEXT(G115,"dddd")</f>
        <v>Thursday</v>
      </c>
      <c r="F115" s="4" t="str">
        <f>TEXT(G115,"mmm")</f>
        <v>Nov</v>
      </c>
      <c r="G115" s="3">
        <v>45253</v>
      </c>
      <c r="H115" s="4" t="s">
        <v>148</v>
      </c>
      <c r="I115" s="4" t="s">
        <v>29</v>
      </c>
      <c r="J115" s="4" t="str" cm="1">
        <f t="array" ref="J115">_xlfn.IFS(K115&lt;30,"Young Adult",K115&lt;=50,"Adult",K115&gt;50,"Senior")</f>
        <v>Adult</v>
      </c>
      <c r="K115" s="4">
        <v>40</v>
      </c>
      <c r="L115" s="4" t="s">
        <v>9</v>
      </c>
      <c r="M115" s="4">
        <v>1</v>
      </c>
      <c r="N115" s="19">
        <v>300</v>
      </c>
      <c r="O115" s="15">
        <f>M115 * N115</f>
        <v>300</v>
      </c>
      <c r="P115" s="15">
        <f>O115*$S$3</f>
        <v>4.5</v>
      </c>
      <c r="Q115" s="15">
        <f>O115*$S$4</f>
        <v>6</v>
      </c>
    </row>
    <row r="116" spans="1:17">
      <c r="A116" s="2">
        <v>803</v>
      </c>
      <c r="B116" s="4">
        <f>DAY(G116)</f>
        <v>22</v>
      </c>
      <c r="C116" s="4">
        <f>MONTH(G116)</f>
        <v>11</v>
      </c>
      <c r="D116" s="4">
        <f>YEAR(G116)</f>
        <v>2023</v>
      </c>
      <c r="E116" s="4" t="str">
        <f>TEXT(G116,"dddd")</f>
        <v>Wednesday</v>
      </c>
      <c r="F116" s="4" t="str">
        <f>TEXT(G116,"mmm")</f>
        <v>Nov</v>
      </c>
      <c r="G116" s="3">
        <v>45252</v>
      </c>
      <c r="H116" s="4" t="s">
        <v>149</v>
      </c>
      <c r="I116" s="4" t="s">
        <v>24</v>
      </c>
      <c r="J116" s="4" t="str" cm="1">
        <f t="array" ref="J116">_xlfn.IFS(K116&lt;30,"Young Adult",K116&lt;=50,"Adult",K116&gt;50,"Senior")</f>
        <v>Adult</v>
      </c>
      <c r="K116" s="4">
        <v>39</v>
      </c>
      <c r="L116" s="4" t="s">
        <v>8</v>
      </c>
      <c r="M116" s="4">
        <v>4</v>
      </c>
      <c r="N116" s="19">
        <v>25</v>
      </c>
      <c r="O116" s="15">
        <f>M116 * N116</f>
        <v>100</v>
      </c>
      <c r="P116" s="15">
        <f>O116*$S$3</f>
        <v>1.5</v>
      </c>
      <c r="Q116" s="15">
        <f>O116*$S$4</f>
        <v>2</v>
      </c>
    </row>
    <row r="117" spans="1:17">
      <c r="A117" s="2">
        <v>87</v>
      </c>
      <c r="B117" s="4">
        <f>DAY(G117)</f>
        <v>22</v>
      </c>
      <c r="C117" s="4">
        <f>MONTH(G117)</f>
        <v>11</v>
      </c>
      <c r="D117" s="4">
        <f>YEAR(G117)</f>
        <v>2023</v>
      </c>
      <c r="E117" s="4" t="str">
        <f>TEXT(G117,"dddd")</f>
        <v>Wednesday</v>
      </c>
      <c r="F117" s="4" t="str">
        <f>TEXT(G117,"mmm")</f>
        <v>Nov</v>
      </c>
      <c r="G117" s="3">
        <v>45252</v>
      </c>
      <c r="H117" s="4" t="s">
        <v>150</v>
      </c>
      <c r="I117" s="4" t="s">
        <v>29</v>
      </c>
      <c r="J117" s="4" t="str" cm="1">
        <f t="array" ref="J117">_xlfn.IFS(K117&lt;30,"Young Adult",K117&lt;=50,"Adult",K117&gt;50,"Senior")</f>
        <v>Young Adult</v>
      </c>
      <c r="K117" s="4">
        <v>28</v>
      </c>
      <c r="L117" s="4" t="s">
        <v>7</v>
      </c>
      <c r="M117" s="4">
        <v>2</v>
      </c>
      <c r="N117" s="19">
        <v>50</v>
      </c>
      <c r="O117" s="15">
        <f>M117 * N117</f>
        <v>100</v>
      </c>
      <c r="P117" s="15">
        <f>O117*$S$3</f>
        <v>1.5</v>
      </c>
      <c r="Q117" s="15">
        <f>O117*$S$4</f>
        <v>2</v>
      </c>
    </row>
    <row r="118" spans="1:17">
      <c r="A118" s="2">
        <v>74</v>
      </c>
      <c r="B118" s="4">
        <f>DAY(G118)</f>
        <v>22</v>
      </c>
      <c r="C118" s="4">
        <f>MONTH(G118)</f>
        <v>11</v>
      </c>
      <c r="D118" s="4">
        <f>YEAR(G118)</f>
        <v>2023</v>
      </c>
      <c r="E118" s="4" t="str">
        <f>TEXT(G118,"dddd")</f>
        <v>Wednesday</v>
      </c>
      <c r="F118" s="4" t="str">
        <f>TEXT(G118,"mmm")</f>
        <v>Nov</v>
      </c>
      <c r="G118" s="3">
        <v>45252</v>
      </c>
      <c r="H118" s="4" t="s">
        <v>151</v>
      </c>
      <c r="I118" s="4" t="s">
        <v>29</v>
      </c>
      <c r="J118" s="4" t="str" cm="1">
        <f t="array" ref="J118">_xlfn.IFS(K118&lt;30,"Young Adult",K118&lt;=50,"Adult",K118&gt;50,"Senior")</f>
        <v>Young Adult</v>
      </c>
      <c r="K118" s="4">
        <v>18</v>
      </c>
      <c r="L118" s="4" t="s">
        <v>7</v>
      </c>
      <c r="M118" s="4">
        <v>4</v>
      </c>
      <c r="N118" s="19">
        <v>500</v>
      </c>
      <c r="O118" s="15">
        <f>M118 * N118</f>
        <v>2000</v>
      </c>
      <c r="P118" s="15">
        <f>O118*$S$3</f>
        <v>30</v>
      </c>
      <c r="Q118" s="15">
        <f>O118*$S$4</f>
        <v>40</v>
      </c>
    </row>
    <row r="119" spans="1:17">
      <c r="A119" s="2">
        <v>581</v>
      </c>
      <c r="B119" s="4">
        <f>DAY(G119)</f>
        <v>21</v>
      </c>
      <c r="C119" s="4">
        <f>MONTH(G119)</f>
        <v>11</v>
      </c>
      <c r="D119" s="4">
        <f>YEAR(G119)</f>
        <v>2023</v>
      </c>
      <c r="E119" s="4" t="str">
        <f>TEXT(G119,"dddd")</f>
        <v>Tuesday</v>
      </c>
      <c r="F119" s="4" t="str">
        <f>TEXT(G119,"mmm")</f>
        <v>Nov</v>
      </c>
      <c r="G119" s="3">
        <v>45251</v>
      </c>
      <c r="H119" s="4" t="s">
        <v>152</v>
      </c>
      <c r="I119" s="4" t="s">
        <v>29</v>
      </c>
      <c r="J119" s="4" t="str" cm="1">
        <f t="array" ref="J119">_xlfn.IFS(K119&lt;30,"Young Adult",K119&lt;=50,"Adult",K119&gt;50,"Senior")</f>
        <v>Adult</v>
      </c>
      <c r="K119" s="4">
        <v>48</v>
      </c>
      <c r="L119" s="4" t="s">
        <v>7</v>
      </c>
      <c r="M119" s="4">
        <v>2</v>
      </c>
      <c r="N119" s="19">
        <v>30</v>
      </c>
      <c r="O119" s="15">
        <f>M119 * N119</f>
        <v>60</v>
      </c>
      <c r="P119" s="15">
        <f>O119*$S$3</f>
        <v>0.89999999999999991</v>
      </c>
      <c r="Q119" s="15">
        <f>O119*$S$4</f>
        <v>1.2</v>
      </c>
    </row>
    <row r="120" spans="1:17">
      <c r="A120" s="2">
        <v>417</v>
      </c>
      <c r="B120" s="4">
        <f>DAY(G120)</f>
        <v>21</v>
      </c>
      <c r="C120" s="4">
        <f>MONTH(G120)</f>
        <v>11</v>
      </c>
      <c r="D120" s="4">
        <f>YEAR(G120)</f>
        <v>2023</v>
      </c>
      <c r="E120" s="4" t="str">
        <f>TEXT(G120,"dddd")</f>
        <v>Tuesday</v>
      </c>
      <c r="F120" s="4" t="str">
        <f>TEXT(G120,"mmm")</f>
        <v>Nov</v>
      </c>
      <c r="G120" s="3">
        <v>45251</v>
      </c>
      <c r="H120" s="4" t="s">
        <v>153</v>
      </c>
      <c r="I120" s="4" t="s">
        <v>24</v>
      </c>
      <c r="J120" s="4" t="str" cm="1">
        <f t="array" ref="J120">_xlfn.IFS(K120&lt;30,"Young Adult",K120&lt;=50,"Adult",K120&gt;50,"Senior")</f>
        <v>Adult</v>
      </c>
      <c r="K120" s="4">
        <v>43</v>
      </c>
      <c r="L120" s="4" t="s">
        <v>9</v>
      </c>
      <c r="M120" s="4">
        <v>3</v>
      </c>
      <c r="N120" s="19">
        <v>300</v>
      </c>
      <c r="O120" s="15">
        <f>M120 * N120</f>
        <v>900</v>
      </c>
      <c r="P120" s="15">
        <f>O120*$S$3</f>
        <v>13.5</v>
      </c>
      <c r="Q120" s="15">
        <f>O120*$S$4</f>
        <v>18</v>
      </c>
    </row>
    <row r="121" spans="1:17">
      <c r="A121" s="2">
        <v>410</v>
      </c>
      <c r="B121" s="4">
        <f>DAY(G121)</f>
        <v>21</v>
      </c>
      <c r="C121" s="4">
        <f>MONTH(G121)</f>
        <v>11</v>
      </c>
      <c r="D121" s="4">
        <f>YEAR(G121)</f>
        <v>2023</v>
      </c>
      <c r="E121" s="4" t="str">
        <f>TEXT(G121,"dddd")</f>
        <v>Tuesday</v>
      </c>
      <c r="F121" s="4" t="str">
        <f>TEXT(G121,"mmm")</f>
        <v>Nov</v>
      </c>
      <c r="G121" s="3">
        <v>45251</v>
      </c>
      <c r="H121" s="4" t="s">
        <v>154</v>
      </c>
      <c r="I121" s="4" t="s">
        <v>29</v>
      </c>
      <c r="J121" s="4" t="str" cm="1">
        <f t="array" ref="J121">_xlfn.IFS(K121&lt;30,"Young Adult",K121&lt;=50,"Adult",K121&gt;50,"Senior")</f>
        <v>Young Adult</v>
      </c>
      <c r="K121" s="4">
        <v>29</v>
      </c>
      <c r="L121" s="4" t="s">
        <v>8</v>
      </c>
      <c r="M121" s="4">
        <v>2</v>
      </c>
      <c r="N121" s="19">
        <v>50</v>
      </c>
      <c r="O121" s="15">
        <f>M121 * N121</f>
        <v>100</v>
      </c>
      <c r="P121" s="15">
        <f>O121*$S$3</f>
        <v>1.5</v>
      </c>
      <c r="Q121" s="15">
        <f>O121*$S$4</f>
        <v>2</v>
      </c>
    </row>
    <row r="122" spans="1:17">
      <c r="A122" s="2">
        <v>234</v>
      </c>
      <c r="B122" s="4">
        <f>DAY(G122)</f>
        <v>20</v>
      </c>
      <c r="C122" s="4">
        <f>MONTH(G122)</f>
        <v>11</v>
      </c>
      <c r="D122" s="4">
        <f>YEAR(G122)</f>
        <v>2023</v>
      </c>
      <c r="E122" s="4" t="str">
        <f>TEXT(G122,"dddd")</f>
        <v>Monday</v>
      </c>
      <c r="F122" s="4" t="str">
        <f>TEXT(G122,"mmm")</f>
        <v>Nov</v>
      </c>
      <c r="G122" s="3">
        <v>45250</v>
      </c>
      <c r="H122" s="4" t="s">
        <v>155</v>
      </c>
      <c r="I122" s="4" t="s">
        <v>29</v>
      </c>
      <c r="J122" s="4" t="str" cm="1">
        <f t="array" ref="J122">_xlfn.IFS(K122&lt;30,"Young Adult",K122&lt;=50,"Adult",K122&gt;50,"Senior")</f>
        <v>Senior</v>
      </c>
      <c r="K122" s="4">
        <v>62</v>
      </c>
      <c r="L122" s="4" t="s">
        <v>9</v>
      </c>
      <c r="M122" s="4">
        <v>2</v>
      </c>
      <c r="N122" s="19">
        <v>25</v>
      </c>
      <c r="O122" s="15">
        <f>M122 * N122</f>
        <v>50</v>
      </c>
      <c r="P122" s="15">
        <f>O122*$S$3</f>
        <v>0.75</v>
      </c>
      <c r="Q122" s="15">
        <f>O122*$S$4</f>
        <v>1</v>
      </c>
    </row>
    <row r="123" spans="1:17">
      <c r="A123" s="2">
        <v>938</v>
      </c>
      <c r="B123" s="4">
        <f>DAY(G123)</f>
        <v>19</v>
      </c>
      <c r="C123" s="4">
        <f>MONTH(G123)</f>
        <v>11</v>
      </c>
      <c r="D123" s="4">
        <f>YEAR(G123)</f>
        <v>2023</v>
      </c>
      <c r="E123" s="4" t="str">
        <f>TEXT(G123,"dddd")</f>
        <v>Sunday</v>
      </c>
      <c r="F123" s="4" t="str">
        <f>TEXT(G123,"mmm")</f>
        <v>Nov</v>
      </c>
      <c r="G123" s="3">
        <v>45249</v>
      </c>
      <c r="H123" s="4" t="s">
        <v>156</v>
      </c>
      <c r="I123" s="4" t="s">
        <v>24</v>
      </c>
      <c r="J123" s="4" t="str" cm="1">
        <f t="array" ref="J123">_xlfn.IFS(K123&lt;30,"Young Adult",K123&lt;=50,"Adult",K123&gt;50,"Senior")</f>
        <v>Adult</v>
      </c>
      <c r="K123" s="4">
        <v>49</v>
      </c>
      <c r="L123" s="4" t="s">
        <v>8</v>
      </c>
      <c r="M123" s="4">
        <v>4</v>
      </c>
      <c r="N123" s="19">
        <v>50</v>
      </c>
      <c r="O123" s="15">
        <f>M123 * N123</f>
        <v>200</v>
      </c>
      <c r="P123" s="15">
        <f>O123*$S$3</f>
        <v>3</v>
      </c>
      <c r="Q123" s="15">
        <f>O123*$S$4</f>
        <v>4</v>
      </c>
    </row>
    <row r="124" spans="1:17">
      <c r="A124" s="2">
        <v>599</v>
      </c>
      <c r="B124" s="4">
        <f>DAY(G124)</f>
        <v>19</v>
      </c>
      <c r="C124" s="4">
        <f>MONTH(G124)</f>
        <v>11</v>
      </c>
      <c r="D124" s="4">
        <f>YEAR(G124)</f>
        <v>2023</v>
      </c>
      <c r="E124" s="4" t="str">
        <f>TEXT(G124,"dddd")</f>
        <v>Sunday</v>
      </c>
      <c r="F124" s="4" t="str">
        <f>TEXT(G124,"mmm")</f>
        <v>Nov</v>
      </c>
      <c r="G124" s="3">
        <v>45249</v>
      </c>
      <c r="H124" s="4" t="s">
        <v>157</v>
      </c>
      <c r="I124" s="4" t="s">
        <v>29</v>
      </c>
      <c r="J124" s="4" t="str" cm="1">
        <f t="array" ref="J124">_xlfn.IFS(K124&lt;30,"Young Adult",K124&lt;=50,"Adult",K124&gt;50,"Senior")</f>
        <v>Young Adult</v>
      </c>
      <c r="K124" s="4">
        <v>28</v>
      </c>
      <c r="L124" s="4" t="s">
        <v>7</v>
      </c>
      <c r="M124" s="4">
        <v>2</v>
      </c>
      <c r="N124" s="19">
        <v>50</v>
      </c>
      <c r="O124" s="15">
        <f>M124 * N124</f>
        <v>100</v>
      </c>
      <c r="P124" s="15">
        <f>O124*$S$3</f>
        <v>1.5</v>
      </c>
      <c r="Q124" s="15">
        <f>O124*$S$4</f>
        <v>2</v>
      </c>
    </row>
    <row r="125" spans="1:17">
      <c r="A125" s="2">
        <v>57</v>
      </c>
      <c r="B125" s="4">
        <f>DAY(G125)</f>
        <v>18</v>
      </c>
      <c r="C125" s="4">
        <f>MONTH(G125)</f>
        <v>11</v>
      </c>
      <c r="D125" s="4">
        <f>YEAR(G125)</f>
        <v>2023</v>
      </c>
      <c r="E125" s="4" t="str">
        <f>TEXT(G125,"dddd")</f>
        <v>Saturday</v>
      </c>
      <c r="F125" s="4" t="str">
        <f>TEXT(G125,"mmm")</f>
        <v>Nov</v>
      </c>
      <c r="G125" s="3">
        <v>45248</v>
      </c>
      <c r="H125" s="4" t="s">
        <v>158</v>
      </c>
      <c r="I125" s="4" t="s">
        <v>29</v>
      </c>
      <c r="J125" s="4" t="str" cm="1">
        <f t="array" ref="J125">_xlfn.IFS(K125&lt;30,"Young Adult",K125&lt;=50,"Adult",K125&gt;50,"Senior")</f>
        <v>Senior</v>
      </c>
      <c r="K125" s="4">
        <v>63</v>
      </c>
      <c r="L125" s="4" t="s">
        <v>7</v>
      </c>
      <c r="M125" s="4">
        <v>1</v>
      </c>
      <c r="N125" s="19">
        <v>30</v>
      </c>
      <c r="O125" s="15">
        <f>M125 * N125</f>
        <v>30</v>
      </c>
      <c r="P125" s="15">
        <f>O125*$S$3</f>
        <v>0.44999999999999996</v>
      </c>
      <c r="Q125" s="15">
        <f>O125*$S$4</f>
        <v>0.6</v>
      </c>
    </row>
    <row r="126" spans="1:17">
      <c r="A126" s="2">
        <v>778</v>
      </c>
      <c r="B126" s="4">
        <f>DAY(G126)</f>
        <v>18</v>
      </c>
      <c r="C126" s="4">
        <f>MONTH(G126)</f>
        <v>11</v>
      </c>
      <c r="D126" s="4">
        <f>YEAR(G126)</f>
        <v>2023</v>
      </c>
      <c r="E126" s="4" t="str">
        <f>TEXT(G126,"dddd")</f>
        <v>Saturday</v>
      </c>
      <c r="F126" s="4" t="str">
        <f>TEXT(G126,"mmm")</f>
        <v>Nov</v>
      </c>
      <c r="G126" s="3">
        <v>45248</v>
      </c>
      <c r="H126" s="4" t="s">
        <v>159</v>
      </c>
      <c r="I126" s="4" t="s">
        <v>29</v>
      </c>
      <c r="J126" s="4" t="str" cm="1">
        <f t="array" ref="J126">_xlfn.IFS(K126&lt;30,"Young Adult",K126&lt;=50,"Adult",K126&gt;50,"Senior")</f>
        <v>Adult</v>
      </c>
      <c r="K126" s="4">
        <v>47</v>
      </c>
      <c r="L126" s="4" t="s">
        <v>7</v>
      </c>
      <c r="M126" s="4">
        <v>4</v>
      </c>
      <c r="N126" s="19">
        <v>25</v>
      </c>
      <c r="O126" s="15">
        <f>M126 * N126</f>
        <v>100</v>
      </c>
      <c r="P126" s="15">
        <f>O126*$S$3</f>
        <v>1.5</v>
      </c>
      <c r="Q126" s="15">
        <f>O126*$S$4</f>
        <v>2</v>
      </c>
    </row>
    <row r="127" spans="1:17">
      <c r="A127" s="2">
        <v>137</v>
      </c>
      <c r="B127" s="4">
        <f>DAY(G127)</f>
        <v>18</v>
      </c>
      <c r="C127" s="4">
        <f>MONTH(G127)</f>
        <v>11</v>
      </c>
      <c r="D127" s="4">
        <f>YEAR(G127)</f>
        <v>2023</v>
      </c>
      <c r="E127" s="4" t="str">
        <f>TEXT(G127,"dddd")</f>
        <v>Saturday</v>
      </c>
      <c r="F127" s="4" t="str">
        <f>TEXT(G127,"mmm")</f>
        <v>Nov</v>
      </c>
      <c r="G127" s="3">
        <v>45248</v>
      </c>
      <c r="H127" s="4" t="s">
        <v>160</v>
      </c>
      <c r="I127" s="4" t="s">
        <v>24</v>
      </c>
      <c r="J127" s="4" t="str" cm="1">
        <f t="array" ref="J127">_xlfn.IFS(K127&lt;30,"Young Adult",K127&lt;=50,"Adult",K127&gt;50,"Senior")</f>
        <v>Adult</v>
      </c>
      <c r="K127" s="4">
        <v>46</v>
      </c>
      <c r="L127" s="4" t="s">
        <v>7</v>
      </c>
      <c r="M127" s="4">
        <v>2</v>
      </c>
      <c r="N127" s="19">
        <v>500</v>
      </c>
      <c r="O127" s="15">
        <f>M127 * N127</f>
        <v>1000</v>
      </c>
      <c r="P127" s="15">
        <f>O127*$S$3</f>
        <v>15</v>
      </c>
      <c r="Q127" s="15">
        <f>O127*$S$4</f>
        <v>20</v>
      </c>
    </row>
    <row r="128" spans="1:17">
      <c r="A128" s="2">
        <v>997</v>
      </c>
      <c r="B128" s="4">
        <f>DAY(G128)</f>
        <v>17</v>
      </c>
      <c r="C128" s="4">
        <f>MONTH(G128)</f>
        <v>11</v>
      </c>
      <c r="D128" s="4">
        <f>YEAR(G128)</f>
        <v>2023</v>
      </c>
      <c r="E128" s="4" t="str">
        <f>TEXT(G128,"dddd")</f>
        <v>Friday</v>
      </c>
      <c r="F128" s="4" t="str">
        <f>TEXT(G128,"mmm")</f>
        <v>Nov</v>
      </c>
      <c r="G128" s="3">
        <v>45247</v>
      </c>
      <c r="H128" s="4" t="s">
        <v>161</v>
      </c>
      <c r="I128" s="4" t="s">
        <v>24</v>
      </c>
      <c r="J128" s="4" t="str" cm="1">
        <f t="array" ref="J128">_xlfn.IFS(K128&lt;30,"Young Adult",K128&lt;=50,"Adult",K128&gt;50,"Senior")</f>
        <v>Senior</v>
      </c>
      <c r="K128" s="4">
        <v>52</v>
      </c>
      <c r="L128" s="4" t="s">
        <v>7</v>
      </c>
      <c r="M128" s="4">
        <v>3</v>
      </c>
      <c r="N128" s="19">
        <v>30</v>
      </c>
      <c r="O128" s="15">
        <f>M128 * N128</f>
        <v>90</v>
      </c>
      <c r="P128" s="15">
        <f>O128*$S$3</f>
        <v>1.3499999999999999</v>
      </c>
      <c r="Q128" s="15">
        <f>O128*$S$4</f>
        <v>1.8</v>
      </c>
    </row>
    <row r="129" spans="1:17">
      <c r="A129" s="2">
        <v>968</v>
      </c>
      <c r="B129" s="4">
        <f>DAY(G129)</f>
        <v>17</v>
      </c>
      <c r="C129" s="4">
        <f>MONTH(G129)</f>
        <v>11</v>
      </c>
      <c r="D129" s="4">
        <f>YEAR(G129)</f>
        <v>2023</v>
      </c>
      <c r="E129" s="4" t="str">
        <f>TEXT(G129,"dddd")</f>
        <v>Friday</v>
      </c>
      <c r="F129" s="4" t="str">
        <f>TEXT(G129,"mmm")</f>
        <v>Nov</v>
      </c>
      <c r="G129" s="3">
        <v>45247</v>
      </c>
      <c r="H129" s="4" t="s">
        <v>162</v>
      </c>
      <c r="I129" s="4" t="s">
        <v>29</v>
      </c>
      <c r="J129" s="4" t="str" cm="1">
        <f t="array" ref="J129">_xlfn.IFS(K129&lt;30,"Young Adult",K129&lt;=50,"Adult",K129&gt;50,"Senior")</f>
        <v>Adult</v>
      </c>
      <c r="K129" s="4">
        <v>48</v>
      </c>
      <c r="L129" s="4" t="s">
        <v>8</v>
      </c>
      <c r="M129" s="4">
        <v>3</v>
      </c>
      <c r="N129" s="19">
        <v>300</v>
      </c>
      <c r="O129" s="15">
        <f>M129 * N129</f>
        <v>900</v>
      </c>
      <c r="P129" s="15">
        <f>O129*$S$3</f>
        <v>13.5</v>
      </c>
      <c r="Q129" s="15">
        <f>O129*$S$4</f>
        <v>18</v>
      </c>
    </row>
    <row r="130" spans="1:17">
      <c r="A130" s="2">
        <v>645</v>
      </c>
      <c r="B130" s="4">
        <f>DAY(G130)</f>
        <v>17</v>
      </c>
      <c r="C130" s="4">
        <f>MONTH(G130)</f>
        <v>11</v>
      </c>
      <c r="D130" s="4">
        <f>YEAR(G130)</f>
        <v>2023</v>
      </c>
      <c r="E130" s="4" t="str">
        <f>TEXT(G130,"dddd")</f>
        <v>Friday</v>
      </c>
      <c r="F130" s="4" t="str">
        <f>TEXT(G130,"mmm")</f>
        <v>Nov</v>
      </c>
      <c r="G130" s="3">
        <v>45247</v>
      </c>
      <c r="H130" s="4" t="s">
        <v>163</v>
      </c>
      <c r="I130" s="4" t="s">
        <v>29</v>
      </c>
      <c r="J130" s="4" t="str" cm="1">
        <f t="array" ref="J130">_xlfn.IFS(K130&lt;30,"Young Adult",K130&lt;=50,"Adult",K130&gt;50,"Senior")</f>
        <v>Adult</v>
      </c>
      <c r="K130" s="4">
        <v>35</v>
      </c>
      <c r="L130" s="4" t="s">
        <v>9</v>
      </c>
      <c r="M130" s="4">
        <v>4</v>
      </c>
      <c r="N130" s="19">
        <v>30</v>
      </c>
      <c r="O130" s="15">
        <f>M130 * N130</f>
        <v>120</v>
      </c>
      <c r="P130" s="15">
        <f>O130*$S$3</f>
        <v>1.7999999999999998</v>
      </c>
      <c r="Q130" s="15">
        <f>O130*$S$4</f>
        <v>2.4</v>
      </c>
    </row>
    <row r="131" spans="1:17">
      <c r="A131" s="2">
        <v>169</v>
      </c>
      <c r="B131" s="4">
        <f>DAY(G131)</f>
        <v>17</v>
      </c>
      <c r="C131" s="4">
        <f>MONTH(G131)</f>
        <v>11</v>
      </c>
      <c r="D131" s="4">
        <f>YEAR(G131)</f>
        <v>2023</v>
      </c>
      <c r="E131" s="4" t="str">
        <f>TEXT(G131,"dddd")</f>
        <v>Friday</v>
      </c>
      <c r="F131" s="4" t="str">
        <f>TEXT(G131,"mmm")</f>
        <v>Nov</v>
      </c>
      <c r="G131" s="3">
        <v>45247</v>
      </c>
      <c r="H131" s="4" t="s">
        <v>164</v>
      </c>
      <c r="I131" s="4" t="s">
        <v>24</v>
      </c>
      <c r="J131" s="4" t="str" cm="1">
        <f t="array" ref="J131">_xlfn.IFS(K131&lt;30,"Young Adult",K131&lt;=50,"Adult",K131&gt;50,"Senior")</f>
        <v>Young Adult</v>
      </c>
      <c r="K131" s="4">
        <v>18</v>
      </c>
      <c r="L131" s="4" t="s">
        <v>7</v>
      </c>
      <c r="M131" s="4">
        <v>3</v>
      </c>
      <c r="N131" s="19">
        <v>500</v>
      </c>
      <c r="O131" s="15">
        <f>M131 * N131</f>
        <v>1500</v>
      </c>
      <c r="P131" s="15">
        <f>O131*$S$3</f>
        <v>22.5</v>
      </c>
      <c r="Q131" s="15">
        <f>O131*$S$4</f>
        <v>30</v>
      </c>
    </row>
    <row r="132" spans="1:17">
      <c r="A132" s="2">
        <v>533</v>
      </c>
      <c r="B132" s="4">
        <f>DAY(G132)</f>
        <v>16</v>
      </c>
      <c r="C132" s="4">
        <f>MONTH(G132)</f>
        <v>11</v>
      </c>
      <c r="D132" s="4">
        <f>YEAR(G132)</f>
        <v>2023</v>
      </c>
      <c r="E132" s="4" t="str">
        <f>TEXT(G132,"dddd")</f>
        <v>Thursday</v>
      </c>
      <c r="F132" s="4" t="str">
        <f>TEXT(G132,"mmm")</f>
        <v>Nov</v>
      </c>
      <c r="G132" s="3">
        <v>45246</v>
      </c>
      <c r="H132" s="4" t="s">
        <v>165</v>
      </c>
      <c r="I132" s="4" t="s">
        <v>24</v>
      </c>
      <c r="J132" s="4" t="str" cm="1">
        <f t="array" ref="J132">_xlfn.IFS(K132&lt;30,"Young Adult",K132&lt;=50,"Adult",K132&gt;50,"Senior")</f>
        <v>Young Adult</v>
      </c>
      <c r="K132" s="4">
        <v>19</v>
      </c>
      <c r="L132" s="4" t="s">
        <v>9</v>
      </c>
      <c r="M132" s="4">
        <v>3</v>
      </c>
      <c r="N132" s="19">
        <v>500</v>
      </c>
      <c r="O132" s="15">
        <f>M132 * N132</f>
        <v>1500</v>
      </c>
      <c r="P132" s="15">
        <f>O132*$S$3</f>
        <v>22.5</v>
      </c>
      <c r="Q132" s="15">
        <f>O132*$S$4</f>
        <v>30</v>
      </c>
    </row>
    <row r="133" spans="1:17">
      <c r="A133" s="2">
        <v>706</v>
      </c>
      <c r="B133" s="4">
        <f>DAY(G133)</f>
        <v>15</v>
      </c>
      <c r="C133" s="4">
        <f>MONTH(G133)</f>
        <v>11</v>
      </c>
      <c r="D133" s="4">
        <f>YEAR(G133)</f>
        <v>2023</v>
      </c>
      <c r="E133" s="4" t="str">
        <f>TEXT(G133,"dddd")</f>
        <v>Wednesday</v>
      </c>
      <c r="F133" s="4" t="str">
        <f>TEXT(G133,"mmm")</f>
        <v>Nov</v>
      </c>
      <c r="G133" s="3">
        <v>45245</v>
      </c>
      <c r="H133" s="4" t="s">
        <v>166</v>
      </c>
      <c r="I133" s="4" t="s">
        <v>24</v>
      </c>
      <c r="J133" s="4" t="str" cm="1">
        <f t="array" ref="J133">_xlfn.IFS(K133&lt;30,"Young Adult",K133&lt;=50,"Adult",K133&gt;50,"Senior")</f>
        <v>Senior</v>
      </c>
      <c r="K133" s="4">
        <v>51</v>
      </c>
      <c r="L133" s="4" t="s">
        <v>9</v>
      </c>
      <c r="M133" s="4">
        <v>4</v>
      </c>
      <c r="N133" s="19">
        <v>25</v>
      </c>
      <c r="O133" s="15">
        <f>M133 * N133</f>
        <v>100</v>
      </c>
      <c r="P133" s="15">
        <f>O133*$S$3</f>
        <v>1.5</v>
      </c>
      <c r="Q133" s="15">
        <f>O133*$S$4</f>
        <v>2</v>
      </c>
    </row>
    <row r="134" spans="1:17">
      <c r="A134" s="2">
        <v>369</v>
      </c>
      <c r="B134" s="4">
        <f>DAY(G134)</f>
        <v>15</v>
      </c>
      <c r="C134" s="4">
        <f>MONTH(G134)</f>
        <v>11</v>
      </c>
      <c r="D134" s="4">
        <f>YEAR(G134)</f>
        <v>2023</v>
      </c>
      <c r="E134" s="4" t="str">
        <f>TEXT(G134,"dddd")</f>
        <v>Wednesday</v>
      </c>
      <c r="F134" s="4" t="str">
        <f>TEXT(G134,"mmm")</f>
        <v>Nov</v>
      </c>
      <c r="G134" s="3">
        <v>45245</v>
      </c>
      <c r="H134" s="4" t="s">
        <v>167</v>
      </c>
      <c r="I134" s="4" t="s">
        <v>24</v>
      </c>
      <c r="J134" s="4" t="str" cm="1">
        <f t="array" ref="J134">_xlfn.IFS(K134&lt;30,"Young Adult",K134&lt;=50,"Adult",K134&gt;50,"Senior")</f>
        <v>Young Adult</v>
      </c>
      <c r="K134" s="4">
        <v>23</v>
      </c>
      <c r="L134" s="4" t="s">
        <v>9</v>
      </c>
      <c r="M134" s="4">
        <v>3</v>
      </c>
      <c r="N134" s="19">
        <v>500</v>
      </c>
      <c r="O134" s="15">
        <f>M134 * N134</f>
        <v>1500</v>
      </c>
      <c r="P134" s="15">
        <f>O134*$S$3</f>
        <v>22.5</v>
      </c>
      <c r="Q134" s="15">
        <f>O134*$S$4</f>
        <v>30</v>
      </c>
    </row>
    <row r="135" spans="1:17">
      <c r="A135" s="2">
        <v>747</v>
      </c>
      <c r="B135" s="4">
        <f>DAY(G135)</f>
        <v>15</v>
      </c>
      <c r="C135" s="4">
        <f>MONTH(G135)</f>
        <v>11</v>
      </c>
      <c r="D135" s="4">
        <f>YEAR(G135)</f>
        <v>2023</v>
      </c>
      <c r="E135" s="4" t="str">
        <f>TEXT(G135,"dddd")</f>
        <v>Wednesday</v>
      </c>
      <c r="F135" s="4" t="str">
        <f>TEXT(G135,"mmm")</f>
        <v>Nov</v>
      </c>
      <c r="G135" s="3">
        <v>45245</v>
      </c>
      <c r="H135" s="4" t="s">
        <v>168</v>
      </c>
      <c r="I135" s="4" t="s">
        <v>24</v>
      </c>
      <c r="J135" s="4" t="str" cm="1">
        <f t="array" ref="J135">_xlfn.IFS(K135&lt;30,"Young Adult",K135&lt;=50,"Adult",K135&gt;50,"Senior")</f>
        <v>Young Adult</v>
      </c>
      <c r="K135" s="4">
        <v>23</v>
      </c>
      <c r="L135" s="4" t="s">
        <v>7</v>
      </c>
      <c r="M135" s="4">
        <v>1</v>
      </c>
      <c r="N135" s="19">
        <v>30</v>
      </c>
      <c r="O135" s="15">
        <f>M135 * N135</f>
        <v>30</v>
      </c>
      <c r="P135" s="15">
        <f>O135*$S$3</f>
        <v>0.44999999999999996</v>
      </c>
      <c r="Q135" s="15">
        <f>O135*$S$4</f>
        <v>0.6</v>
      </c>
    </row>
    <row r="136" spans="1:17">
      <c r="A136" s="2">
        <v>345</v>
      </c>
      <c r="B136" s="4">
        <f>DAY(G136)</f>
        <v>14</v>
      </c>
      <c r="C136" s="4">
        <f>MONTH(G136)</f>
        <v>11</v>
      </c>
      <c r="D136" s="4">
        <f>YEAR(G136)</f>
        <v>2023</v>
      </c>
      <c r="E136" s="4" t="str">
        <f>TEXT(G136,"dddd")</f>
        <v>Tuesday</v>
      </c>
      <c r="F136" s="4" t="str">
        <f>TEXT(G136,"mmm")</f>
        <v>Nov</v>
      </c>
      <c r="G136" s="3">
        <v>45244</v>
      </c>
      <c r="H136" s="4" t="s">
        <v>169</v>
      </c>
      <c r="I136" s="4" t="s">
        <v>24</v>
      </c>
      <c r="J136" s="4" t="str" cm="1">
        <f t="array" ref="J136">_xlfn.IFS(K136&lt;30,"Young Adult",K136&lt;=50,"Adult",K136&gt;50,"Senior")</f>
        <v>Senior</v>
      </c>
      <c r="K136" s="4">
        <v>62</v>
      </c>
      <c r="L136" s="4" t="s">
        <v>9</v>
      </c>
      <c r="M136" s="4">
        <v>1</v>
      </c>
      <c r="N136" s="19">
        <v>30</v>
      </c>
      <c r="O136" s="15">
        <f>M136 * N136</f>
        <v>30</v>
      </c>
      <c r="P136" s="15">
        <f>O136*$S$3</f>
        <v>0.44999999999999996</v>
      </c>
      <c r="Q136" s="15">
        <f>O136*$S$4</f>
        <v>0.6</v>
      </c>
    </row>
    <row r="137" spans="1:17">
      <c r="A137" s="2">
        <v>963</v>
      </c>
      <c r="B137" s="4">
        <f>DAY(G137)</f>
        <v>14</v>
      </c>
      <c r="C137" s="4">
        <f>MONTH(G137)</f>
        <v>11</v>
      </c>
      <c r="D137" s="4">
        <f>YEAR(G137)</f>
        <v>2023</v>
      </c>
      <c r="E137" s="4" t="str">
        <f>TEXT(G137,"dddd")</f>
        <v>Tuesday</v>
      </c>
      <c r="F137" s="4" t="str">
        <f>TEXT(G137,"mmm")</f>
        <v>Nov</v>
      </c>
      <c r="G137" s="3">
        <v>45244</v>
      </c>
      <c r="H137" s="4" t="s">
        <v>170</v>
      </c>
      <c r="I137" s="4" t="s">
        <v>29</v>
      </c>
      <c r="J137" s="4" t="str" cm="1">
        <f t="array" ref="J137">_xlfn.IFS(K137&lt;30,"Young Adult",K137&lt;=50,"Adult",K137&gt;50,"Senior")</f>
        <v>Senior</v>
      </c>
      <c r="K137" s="4">
        <v>55</v>
      </c>
      <c r="L137" s="4" t="s">
        <v>7</v>
      </c>
      <c r="M137" s="4">
        <v>1</v>
      </c>
      <c r="N137" s="19">
        <v>50</v>
      </c>
      <c r="O137" s="15">
        <f>M137 * N137</f>
        <v>50</v>
      </c>
      <c r="P137" s="15">
        <f>O137*$S$3</f>
        <v>0.75</v>
      </c>
      <c r="Q137" s="15">
        <f>O137*$S$4</f>
        <v>1</v>
      </c>
    </row>
    <row r="138" spans="1:17">
      <c r="A138" s="2">
        <v>458</v>
      </c>
      <c r="B138" s="4">
        <f>DAY(G138)</f>
        <v>14</v>
      </c>
      <c r="C138" s="4">
        <f>MONTH(G138)</f>
        <v>11</v>
      </c>
      <c r="D138" s="4">
        <f>YEAR(G138)</f>
        <v>2023</v>
      </c>
      <c r="E138" s="4" t="str">
        <f>TEXT(G138,"dddd")</f>
        <v>Tuesday</v>
      </c>
      <c r="F138" s="4" t="str">
        <f>TEXT(G138,"mmm")</f>
        <v>Nov</v>
      </c>
      <c r="G138" s="3">
        <v>45244</v>
      </c>
      <c r="H138" s="4" t="s">
        <v>171</v>
      </c>
      <c r="I138" s="4" t="s">
        <v>29</v>
      </c>
      <c r="J138" s="4" t="str" cm="1">
        <f t="array" ref="J138">_xlfn.IFS(K138&lt;30,"Young Adult",K138&lt;=50,"Adult",K138&gt;50,"Senior")</f>
        <v>Adult</v>
      </c>
      <c r="K138" s="4">
        <v>39</v>
      </c>
      <c r="L138" s="4" t="s">
        <v>9</v>
      </c>
      <c r="M138" s="4">
        <v>4</v>
      </c>
      <c r="N138" s="19">
        <v>25</v>
      </c>
      <c r="O138" s="15">
        <f>M138 * N138</f>
        <v>100</v>
      </c>
      <c r="P138" s="15">
        <f>O138*$S$3</f>
        <v>1.5</v>
      </c>
      <c r="Q138" s="15">
        <f>O138*$S$4</f>
        <v>2</v>
      </c>
    </row>
    <row r="139" spans="1:17">
      <c r="A139" s="2">
        <v>582</v>
      </c>
      <c r="B139" s="4">
        <f>DAY(G139)</f>
        <v>14</v>
      </c>
      <c r="C139" s="4">
        <f>MONTH(G139)</f>
        <v>11</v>
      </c>
      <c r="D139" s="4">
        <f>YEAR(G139)</f>
        <v>2023</v>
      </c>
      <c r="E139" s="4" t="str">
        <f>TEXT(G139,"dddd")</f>
        <v>Tuesday</v>
      </c>
      <c r="F139" s="4" t="str">
        <f>TEXT(G139,"mmm")</f>
        <v>Nov</v>
      </c>
      <c r="G139" s="3">
        <v>45244</v>
      </c>
      <c r="H139" s="4" t="s">
        <v>172</v>
      </c>
      <c r="I139" s="4" t="s">
        <v>24</v>
      </c>
      <c r="J139" s="4" t="str" cm="1">
        <f t="array" ref="J139">_xlfn.IFS(K139&lt;30,"Young Adult",K139&lt;=50,"Adult",K139&gt;50,"Senior")</f>
        <v>Adult</v>
      </c>
      <c r="K139" s="4">
        <v>35</v>
      </c>
      <c r="L139" s="4" t="s">
        <v>8</v>
      </c>
      <c r="M139" s="4">
        <v>3</v>
      </c>
      <c r="N139" s="19">
        <v>300</v>
      </c>
      <c r="O139" s="15">
        <f>M139 * N139</f>
        <v>900</v>
      </c>
      <c r="P139" s="15">
        <f>O139*$S$3</f>
        <v>13.5</v>
      </c>
      <c r="Q139" s="15">
        <f>O139*$S$4</f>
        <v>18</v>
      </c>
    </row>
    <row r="140" spans="1:17">
      <c r="A140" s="2">
        <v>952</v>
      </c>
      <c r="B140" s="4">
        <f>DAY(G140)</f>
        <v>13</v>
      </c>
      <c r="C140" s="4">
        <f>MONTH(G140)</f>
        <v>11</v>
      </c>
      <c r="D140" s="4">
        <f>YEAR(G140)</f>
        <v>2023</v>
      </c>
      <c r="E140" s="4" t="str">
        <f>TEXT(G140,"dddd")</f>
        <v>Monday</v>
      </c>
      <c r="F140" s="4" t="str">
        <f>TEXT(G140,"mmm")</f>
        <v>Nov</v>
      </c>
      <c r="G140" s="3">
        <v>45243</v>
      </c>
      <c r="H140" s="4" t="s">
        <v>173</v>
      </c>
      <c r="I140" s="4" t="s">
        <v>29</v>
      </c>
      <c r="J140" s="4" t="str" cm="1">
        <f t="array" ref="J140">_xlfn.IFS(K140&lt;30,"Young Adult",K140&lt;=50,"Adult",K140&gt;50,"Senior")</f>
        <v>Senior</v>
      </c>
      <c r="K140" s="4">
        <v>57</v>
      </c>
      <c r="L140" s="4" t="s">
        <v>8</v>
      </c>
      <c r="M140" s="4">
        <v>1</v>
      </c>
      <c r="N140" s="19">
        <v>25</v>
      </c>
      <c r="O140" s="15">
        <f>M140 * N140</f>
        <v>25</v>
      </c>
      <c r="P140" s="15">
        <f>O140*$S$3</f>
        <v>0.375</v>
      </c>
      <c r="Q140" s="15">
        <f>O140*$S$4</f>
        <v>0.5</v>
      </c>
    </row>
    <row r="141" spans="1:17">
      <c r="A141" s="2">
        <v>58</v>
      </c>
      <c r="B141" s="4">
        <f>DAY(G141)</f>
        <v>13</v>
      </c>
      <c r="C141" s="4">
        <f>MONTH(G141)</f>
        <v>11</v>
      </c>
      <c r="D141" s="4">
        <f>YEAR(G141)</f>
        <v>2023</v>
      </c>
      <c r="E141" s="4" t="str">
        <f>TEXT(G141,"dddd")</f>
        <v>Monday</v>
      </c>
      <c r="F141" s="4" t="str">
        <f>TEXT(G141,"mmm")</f>
        <v>Nov</v>
      </c>
      <c r="G141" s="3">
        <v>45243</v>
      </c>
      <c r="H141" s="4" t="s">
        <v>174</v>
      </c>
      <c r="I141" s="4" t="s">
        <v>24</v>
      </c>
      <c r="J141" s="4" t="str" cm="1">
        <f t="array" ref="J141">_xlfn.IFS(K141&lt;30,"Young Adult",K141&lt;=50,"Adult",K141&gt;50,"Senior")</f>
        <v>Young Adult</v>
      </c>
      <c r="K141" s="4">
        <v>18</v>
      </c>
      <c r="L141" s="4" t="s">
        <v>8</v>
      </c>
      <c r="M141" s="4">
        <v>4</v>
      </c>
      <c r="N141" s="19">
        <v>300</v>
      </c>
      <c r="O141" s="15">
        <f>M141 * N141</f>
        <v>1200</v>
      </c>
      <c r="P141" s="15">
        <f>O141*$S$3</f>
        <v>18</v>
      </c>
      <c r="Q141" s="15">
        <f>O141*$S$4</f>
        <v>24</v>
      </c>
    </row>
    <row r="142" spans="1:17">
      <c r="A142" s="2">
        <v>554</v>
      </c>
      <c r="B142" s="4">
        <f>DAY(G142)</f>
        <v>12</v>
      </c>
      <c r="C142" s="4">
        <f>MONTH(G142)</f>
        <v>11</v>
      </c>
      <c r="D142" s="4">
        <f>YEAR(G142)</f>
        <v>2023</v>
      </c>
      <c r="E142" s="4" t="str">
        <f>TEXT(G142,"dddd")</f>
        <v>Sunday</v>
      </c>
      <c r="F142" s="4" t="str">
        <f>TEXT(G142,"mmm")</f>
        <v>Nov</v>
      </c>
      <c r="G142" s="3">
        <v>45242</v>
      </c>
      <c r="H142" s="4" t="s">
        <v>175</v>
      </c>
      <c r="I142" s="4" t="s">
        <v>29</v>
      </c>
      <c r="J142" s="4" t="str" cm="1">
        <f t="array" ref="J142">_xlfn.IFS(K142&lt;30,"Young Adult",K142&lt;=50,"Adult",K142&gt;50,"Senior")</f>
        <v>Adult</v>
      </c>
      <c r="K142" s="4">
        <v>46</v>
      </c>
      <c r="L142" s="4" t="s">
        <v>7</v>
      </c>
      <c r="M142" s="4">
        <v>3</v>
      </c>
      <c r="N142" s="19">
        <v>50</v>
      </c>
      <c r="O142" s="15">
        <f>M142 * N142</f>
        <v>150</v>
      </c>
      <c r="P142" s="15">
        <f>O142*$S$3</f>
        <v>2.25</v>
      </c>
      <c r="Q142" s="15">
        <f>O142*$S$4</f>
        <v>3</v>
      </c>
    </row>
    <row r="143" spans="1:17">
      <c r="A143" s="2">
        <v>812</v>
      </c>
      <c r="B143" s="4">
        <f>DAY(G143)</f>
        <v>12</v>
      </c>
      <c r="C143" s="4">
        <f>MONTH(G143)</f>
        <v>11</v>
      </c>
      <c r="D143" s="4">
        <f>YEAR(G143)</f>
        <v>2023</v>
      </c>
      <c r="E143" s="4" t="str">
        <f>TEXT(G143,"dddd")</f>
        <v>Sunday</v>
      </c>
      <c r="F143" s="4" t="str">
        <f>TEXT(G143,"mmm")</f>
        <v>Nov</v>
      </c>
      <c r="G143" s="3">
        <v>45242</v>
      </c>
      <c r="H143" s="4" t="s">
        <v>176</v>
      </c>
      <c r="I143" s="4" t="s">
        <v>24</v>
      </c>
      <c r="J143" s="4" t="str" cm="1">
        <f t="array" ref="J143">_xlfn.IFS(K143&lt;30,"Young Adult",K143&lt;=50,"Adult",K143&gt;50,"Senior")</f>
        <v>Young Adult</v>
      </c>
      <c r="K143" s="4">
        <v>19</v>
      </c>
      <c r="L143" s="4" t="s">
        <v>9</v>
      </c>
      <c r="M143" s="4">
        <v>3</v>
      </c>
      <c r="N143" s="19">
        <v>25</v>
      </c>
      <c r="O143" s="15">
        <f>M143 * N143</f>
        <v>75</v>
      </c>
      <c r="P143" s="15">
        <f>O143*$S$3</f>
        <v>1.125</v>
      </c>
      <c r="Q143" s="15">
        <f>O143*$S$4</f>
        <v>1.5</v>
      </c>
    </row>
    <row r="144" spans="1:17">
      <c r="A144" s="2">
        <v>631</v>
      </c>
      <c r="B144" s="4">
        <f>DAY(G144)</f>
        <v>10</v>
      </c>
      <c r="C144" s="4">
        <f>MONTH(G144)</f>
        <v>11</v>
      </c>
      <c r="D144" s="4">
        <f>YEAR(G144)</f>
        <v>2023</v>
      </c>
      <c r="E144" s="4" t="str">
        <f>TEXT(G144,"dddd")</f>
        <v>Friday</v>
      </c>
      <c r="F144" s="4" t="str">
        <f>TEXT(G144,"mmm")</f>
        <v>Nov</v>
      </c>
      <c r="G144" s="3">
        <v>45240</v>
      </c>
      <c r="H144" s="4" t="s">
        <v>177</v>
      </c>
      <c r="I144" s="4" t="s">
        <v>24</v>
      </c>
      <c r="J144" s="4" t="str" cm="1">
        <f t="array" ref="J144">_xlfn.IFS(K144&lt;30,"Young Adult",K144&lt;=50,"Adult",K144&gt;50,"Senior")</f>
        <v>Senior</v>
      </c>
      <c r="K144" s="4">
        <v>56</v>
      </c>
      <c r="L144" s="4" t="s">
        <v>9</v>
      </c>
      <c r="M144" s="4">
        <v>3</v>
      </c>
      <c r="N144" s="19">
        <v>30</v>
      </c>
      <c r="O144" s="15">
        <f>M144 * N144</f>
        <v>90</v>
      </c>
      <c r="P144" s="15">
        <f>O144*$S$3</f>
        <v>1.3499999999999999</v>
      </c>
      <c r="Q144" s="15">
        <f>O144*$S$4</f>
        <v>1.8</v>
      </c>
    </row>
    <row r="145" spans="1:17">
      <c r="A145" s="2">
        <v>388</v>
      </c>
      <c r="B145" s="4">
        <f>DAY(G145)</f>
        <v>10</v>
      </c>
      <c r="C145" s="4">
        <f>MONTH(G145)</f>
        <v>11</v>
      </c>
      <c r="D145" s="4">
        <f>YEAR(G145)</f>
        <v>2023</v>
      </c>
      <c r="E145" s="4" t="str">
        <f>TEXT(G145,"dddd")</f>
        <v>Friday</v>
      </c>
      <c r="F145" s="4" t="str">
        <f>TEXT(G145,"mmm")</f>
        <v>Nov</v>
      </c>
      <c r="G145" s="3">
        <v>45240</v>
      </c>
      <c r="H145" s="4" t="s">
        <v>178</v>
      </c>
      <c r="I145" s="4" t="s">
        <v>24</v>
      </c>
      <c r="J145" s="4" t="str" cm="1">
        <f t="array" ref="J145">_xlfn.IFS(K145&lt;30,"Young Adult",K145&lt;=50,"Adult",K145&gt;50,"Senior")</f>
        <v>Adult</v>
      </c>
      <c r="K145" s="4">
        <v>50</v>
      </c>
      <c r="L145" s="4" t="s">
        <v>9</v>
      </c>
      <c r="M145" s="4">
        <v>1</v>
      </c>
      <c r="N145" s="19">
        <v>25</v>
      </c>
      <c r="O145" s="15">
        <f>M145 * N145</f>
        <v>25</v>
      </c>
      <c r="P145" s="15">
        <f>O145*$S$3</f>
        <v>0.375</v>
      </c>
      <c r="Q145" s="15">
        <f>O145*$S$4</f>
        <v>0.5</v>
      </c>
    </row>
    <row r="146" spans="1:17">
      <c r="A146" s="2">
        <v>827</v>
      </c>
      <c r="B146" s="4">
        <f>DAY(G146)</f>
        <v>9</v>
      </c>
      <c r="C146" s="4">
        <f>MONTH(G146)</f>
        <v>11</v>
      </c>
      <c r="D146" s="4">
        <f>YEAR(G146)</f>
        <v>2023</v>
      </c>
      <c r="E146" s="4" t="str">
        <f>TEXT(G146,"dddd")</f>
        <v>Thursday</v>
      </c>
      <c r="F146" s="4" t="str">
        <f>TEXT(G146,"mmm")</f>
        <v>Nov</v>
      </c>
      <c r="G146" s="3">
        <v>45239</v>
      </c>
      <c r="H146" s="4" t="s">
        <v>179</v>
      </c>
      <c r="I146" s="4" t="s">
        <v>24</v>
      </c>
      <c r="J146" s="4" t="str" cm="1">
        <f t="array" ref="J146">_xlfn.IFS(K146&lt;30,"Young Adult",K146&lt;=50,"Adult",K146&gt;50,"Senior")</f>
        <v>Senior</v>
      </c>
      <c r="K146" s="4">
        <v>61</v>
      </c>
      <c r="L146" s="4" t="s">
        <v>7</v>
      </c>
      <c r="M146" s="4">
        <v>3</v>
      </c>
      <c r="N146" s="19">
        <v>300</v>
      </c>
      <c r="O146" s="15">
        <f>M146 * N146</f>
        <v>900</v>
      </c>
      <c r="P146" s="15">
        <f>O146*$S$3</f>
        <v>13.5</v>
      </c>
      <c r="Q146" s="15">
        <f>O146*$S$4</f>
        <v>18</v>
      </c>
    </row>
    <row r="147" spans="1:17">
      <c r="A147" s="2">
        <v>965</v>
      </c>
      <c r="B147" s="4">
        <f>DAY(G147)</f>
        <v>9</v>
      </c>
      <c r="C147" s="4">
        <f>MONTH(G147)</f>
        <v>11</v>
      </c>
      <c r="D147" s="4">
        <f>YEAR(G147)</f>
        <v>2023</v>
      </c>
      <c r="E147" s="4" t="str">
        <f>TEXT(G147,"dddd")</f>
        <v>Thursday</v>
      </c>
      <c r="F147" s="4" t="str">
        <f>TEXT(G147,"mmm")</f>
        <v>Nov</v>
      </c>
      <c r="G147" s="3">
        <v>45239</v>
      </c>
      <c r="H147" s="4" t="s">
        <v>180</v>
      </c>
      <c r="I147" s="4" t="s">
        <v>24</v>
      </c>
      <c r="J147" s="4" t="str" cm="1">
        <f t="array" ref="J147">_xlfn.IFS(K147&lt;30,"Young Adult",K147&lt;=50,"Adult",K147&gt;50,"Senior")</f>
        <v>Young Adult</v>
      </c>
      <c r="K147" s="4">
        <v>22</v>
      </c>
      <c r="L147" s="4" t="s">
        <v>8</v>
      </c>
      <c r="M147" s="4">
        <v>4</v>
      </c>
      <c r="N147" s="19">
        <v>50</v>
      </c>
      <c r="O147" s="15">
        <f>M147 * N147</f>
        <v>200</v>
      </c>
      <c r="P147" s="15">
        <f>O147*$S$3</f>
        <v>3</v>
      </c>
      <c r="Q147" s="15">
        <f>O147*$S$4</f>
        <v>4</v>
      </c>
    </row>
    <row r="148" spans="1:17">
      <c r="A148" s="2">
        <v>595</v>
      </c>
      <c r="B148" s="4">
        <f>DAY(G148)</f>
        <v>9</v>
      </c>
      <c r="C148" s="4">
        <f>MONTH(G148)</f>
        <v>11</v>
      </c>
      <c r="D148" s="4">
        <f>YEAR(G148)</f>
        <v>2023</v>
      </c>
      <c r="E148" s="4" t="str">
        <f>TEXT(G148,"dddd")</f>
        <v>Thursday</v>
      </c>
      <c r="F148" s="4" t="str">
        <f>TEXT(G148,"mmm")</f>
        <v>Nov</v>
      </c>
      <c r="G148" s="3">
        <v>45239</v>
      </c>
      <c r="H148" s="4" t="s">
        <v>181</v>
      </c>
      <c r="I148" s="4" t="s">
        <v>29</v>
      </c>
      <c r="J148" s="4" t="str" cm="1">
        <f t="array" ref="J148">_xlfn.IFS(K148&lt;30,"Young Adult",K148&lt;=50,"Adult",K148&gt;50,"Senior")</f>
        <v>Young Adult</v>
      </c>
      <c r="K148" s="4">
        <v>18</v>
      </c>
      <c r="L148" s="4" t="s">
        <v>8</v>
      </c>
      <c r="M148" s="4">
        <v>4</v>
      </c>
      <c r="N148" s="19">
        <v>500</v>
      </c>
      <c r="O148" s="15">
        <f>M148 * N148</f>
        <v>2000</v>
      </c>
      <c r="P148" s="15">
        <f>O148*$S$3</f>
        <v>30</v>
      </c>
      <c r="Q148" s="15">
        <f>O148*$S$4</f>
        <v>40</v>
      </c>
    </row>
    <row r="149" spans="1:17">
      <c r="A149" s="2">
        <v>173</v>
      </c>
      <c r="B149" s="4">
        <f>DAY(G149)</f>
        <v>8</v>
      </c>
      <c r="C149" s="4">
        <f>MONTH(G149)</f>
        <v>11</v>
      </c>
      <c r="D149" s="4">
        <f>YEAR(G149)</f>
        <v>2023</v>
      </c>
      <c r="E149" s="4" t="str">
        <f>TEXT(G149,"dddd")</f>
        <v>Wednesday</v>
      </c>
      <c r="F149" s="4" t="str">
        <f>TEXT(G149,"mmm")</f>
        <v>Nov</v>
      </c>
      <c r="G149" s="3">
        <v>45238</v>
      </c>
      <c r="H149" s="4" t="s">
        <v>182</v>
      </c>
      <c r="I149" s="4" t="s">
        <v>24</v>
      </c>
      <c r="J149" s="4" t="str" cm="1">
        <f t="array" ref="J149">_xlfn.IFS(K149&lt;30,"Young Adult",K149&lt;=50,"Adult",K149&gt;50,"Senior")</f>
        <v>Senior</v>
      </c>
      <c r="K149" s="4">
        <v>64</v>
      </c>
      <c r="L149" s="4" t="s">
        <v>9</v>
      </c>
      <c r="M149" s="4">
        <v>4</v>
      </c>
      <c r="N149" s="19">
        <v>30</v>
      </c>
      <c r="O149" s="15">
        <f>M149 * N149</f>
        <v>120</v>
      </c>
      <c r="P149" s="15">
        <f>O149*$S$3</f>
        <v>1.7999999999999998</v>
      </c>
      <c r="Q149" s="15">
        <f>O149*$S$4</f>
        <v>2.4</v>
      </c>
    </row>
    <row r="150" spans="1:17">
      <c r="A150" s="2">
        <v>86</v>
      </c>
      <c r="B150" s="4">
        <f>DAY(G150)</f>
        <v>8</v>
      </c>
      <c r="C150" s="4">
        <f>MONTH(G150)</f>
        <v>11</v>
      </c>
      <c r="D150" s="4">
        <f>YEAR(G150)</f>
        <v>2023</v>
      </c>
      <c r="E150" s="4" t="str">
        <f>TEXT(G150,"dddd")</f>
        <v>Wednesday</v>
      </c>
      <c r="F150" s="4" t="str">
        <f>TEXT(G150,"mmm")</f>
        <v>Nov</v>
      </c>
      <c r="G150" s="3">
        <v>45238</v>
      </c>
      <c r="H150" s="4" t="s">
        <v>183</v>
      </c>
      <c r="I150" s="4" t="s">
        <v>24</v>
      </c>
      <c r="J150" s="4" t="str" cm="1">
        <f t="array" ref="J150">_xlfn.IFS(K150&lt;30,"Young Adult",K150&lt;=50,"Adult",K150&gt;50,"Senior")</f>
        <v>Young Adult</v>
      </c>
      <c r="K150" s="4">
        <v>19</v>
      </c>
      <c r="L150" s="4" t="s">
        <v>7</v>
      </c>
      <c r="M150" s="4">
        <v>3</v>
      </c>
      <c r="N150" s="19">
        <v>30</v>
      </c>
      <c r="O150" s="15">
        <f>M150 * N150</f>
        <v>90</v>
      </c>
      <c r="P150" s="15">
        <f>O150*$S$3</f>
        <v>1.3499999999999999</v>
      </c>
      <c r="Q150" s="15">
        <f>O150*$S$4</f>
        <v>1.8</v>
      </c>
    </row>
    <row r="151" spans="1:17">
      <c r="A151" s="2">
        <v>512</v>
      </c>
      <c r="B151" s="4">
        <f>DAY(G151)</f>
        <v>7</v>
      </c>
      <c r="C151" s="4">
        <f>MONTH(G151)</f>
        <v>11</v>
      </c>
      <c r="D151" s="4">
        <f>YEAR(G151)</f>
        <v>2023</v>
      </c>
      <c r="E151" s="4" t="str">
        <f>TEXT(G151,"dddd")</f>
        <v>Tuesday</v>
      </c>
      <c r="F151" s="4" t="str">
        <f>TEXT(G151,"mmm")</f>
        <v>Nov</v>
      </c>
      <c r="G151" s="3">
        <v>45237</v>
      </c>
      <c r="H151" s="4" t="s">
        <v>184</v>
      </c>
      <c r="I151" s="4" t="s">
        <v>29</v>
      </c>
      <c r="J151" s="4" t="str" cm="1">
        <f t="array" ref="J151">_xlfn.IFS(K151&lt;30,"Young Adult",K151&lt;=50,"Adult",K151&gt;50,"Senior")</f>
        <v>Senior</v>
      </c>
      <c r="K151" s="4">
        <v>57</v>
      </c>
      <c r="L151" s="4" t="s">
        <v>7</v>
      </c>
      <c r="M151" s="4">
        <v>1</v>
      </c>
      <c r="N151" s="19">
        <v>25</v>
      </c>
      <c r="O151" s="15">
        <f>M151 * N151</f>
        <v>25</v>
      </c>
      <c r="P151" s="15">
        <f>O151*$S$3</f>
        <v>0.375</v>
      </c>
      <c r="Q151" s="15">
        <f>O151*$S$4</f>
        <v>0.5</v>
      </c>
    </row>
    <row r="152" spans="1:17">
      <c r="A152" s="2">
        <v>565</v>
      </c>
      <c r="B152" s="4">
        <f>DAY(G152)</f>
        <v>7</v>
      </c>
      <c r="C152" s="4">
        <f>MONTH(G152)</f>
        <v>11</v>
      </c>
      <c r="D152" s="4">
        <f>YEAR(G152)</f>
        <v>2023</v>
      </c>
      <c r="E152" s="4" t="str">
        <f>TEXT(G152,"dddd")</f>
        <v>Tuesday</v>
      </c>
      <c r="F152" s="4" t="str">
        <f>TEXT(G152,"mmm")</f>
        <v>Nov</v>
      </c>
      <c r="G152" s="3">
        <v>45237</v>
      </c>
      <c r="H152" s="4" t="s">
        <v>185</v>
      </c>
      <c r="I152" s="4" t="s">
        <v>29</v>
      </c>
      <c r="J152" s="4" t="str" cm="1">
        <f t="array" ref="J152">_xlfn.IFS(K152&lt;30,"Young Adult",K152&lt;=50,"Adult",K152&gt;50,"Senior")</f>
        <v>Adult</v>
      </c>
      <c r="K152" s="4">
        <v>45</v>
      </c>
      <c r="L152" s="4" t="s">
        <v>7</v>
      </c>
      <c r="M152" s="4">
        <v>2</v>
      </c>
      <c r="N152" s="19">
        <v>30</v>
      </c>
      <c r="O152" s="15">
        <f>M152 * N152</f>
        <v>60</v>
      </c>
      <c r="P152" s="15">
        <f>O152*$S$3</f>
        <v>0.89999999999999991</v>
      </c>
      <c r="Q152" s="15">
        <f>O152*$S$4</f>
        <v>1.2</v>
      </c>
    </row>
    <row r="153" spans="1:17">
      <c r="A153" s="2">
        <v>205</v>
      </c>
      <c r="B153" s="4">
        <f>DAY(G153)</f>
        <v>7</v>
      </c>
      <c r="C153" s="4">
        <f>MONTH(G153)</f>
        <v>11</v>
      </c>
      <c r="D153" s="4">
        <f>YEAR(G153)</f>
        <v>2023</v>
      </c>
      <c r="E153" s="4" t="str">
        <f>TEXT(G153,"dddd")</f>
        <v>Tuesday</v>
      </c>
      <c r="F153" s="4" t="str">
        <f>TEXT(G153,"mmm")</f>
        <v>Nov</v>
      </c>
      <c r="G153" s="3">
        <v>45237</v>
      </c>
      <c r="H153" s="4" t="s">
        <v>186</v>
      </c>
      <c r="I153" s="4" t="s">
        <v>29</v>
      </c>
      <c r="J153" s="4" t="str" cm="1">
        <f t="array" ref="J153">_xlfn.IFS(K153&lt;30,"Young Adult",K153&lt;=50,"Adult",K153&gt;50,"Senior")</f>
        <v>Adult</v>
      </c>
      <c r="K153" s="4">
        <v>43</v>
      </c>
      <c r="L153" s="4" t="s">
        <v>8</v>
      </c>
      <c r="M153" s="4">
        <v>1</v>
      </c>
      <c r="N153" s="19">
        <v>25</v>
      </c>
      <c r="O153" s="15">
        <f>M153 * N153</f>
        <v>25</v>
      </c>
      <c r="P153" s="15">
        <f>O153*$S$3</f>
        <v>0.375</v>
      </c>
      <c r="Q153" s="15">
        <f>O153*$S$4</f>
        <v>0.5</v>
      </c>
    </row>
    <row r="154" spans="1:17">
      <c r="A154" s="2">
        <v>950</v>
      </c>
      <c r="B154" s="4">
        <f>DAY(G154)</f>
        <v>7</v>
      </c>
      <c r="C154" s="4">
        <f>MONTH(G154)</f>
        <v>11</v>
      </c>
      <c r="D154" s="4">
        <f>YEAR(G154)</f>
        <v>2023</v>
      </c>
      <c r="E154" s="4" t="str">
        <f>TEXT(G154,"dddd")</f>
        <v>Tuesday</v>
      </c>
      <c r="F154" s="4" t="str">
        <f>TEXT(G154,"mmm")</f>
        <v>Nov</v>
      </c>
      <c r="G154" s="3">
        <v>45237</v>
      </c>
      <c r="H154" s="4" t="s">
        <v>187</v>
      </c>
      <c r="I154" s="4" t="s">
        <v>24</v>
      </c>
      <c r="J154" s="4" t="str" cm="1">
        <f t="array" ref="J154">_xlfn.IFS(K154&lt;30,"Young Adult",K154&lt;=50,"Adult",K154&gt;50,"Senior")</f>
        <v>Adult</v>
      </c>
      <c r="K154" s="4">
        <v>36</v>
      </c>
      <c r="L154" s="4" t="s">
        <v>8</v>
      </c>
      <c r="M154" s="4">
        <v>3</v>
      </c>
      <c r="N154" s="19">
        <v>300</v>
      </c>
      <c r="O154" s="15">
        <f>M154 * N154</f>
        <v>900</v>
      </c>
      <c r="P154" s="15">
        <f>O154*$S$3</f>
        <v>13.5</v>
      </c>
      <c r="Q154" s="15">
        <f>O154*$S$4</f>
        <v>18</v>
      </c>
    </row>
    <row r="155" spans="1:17">
      <c r="A155" s="2">
        <v>761</v>
      </c>
      <c r="B155" s="4">
        <f>DAY(G155)</f>
        <v>7</v>
      </c>
      <c r="C155" s="4">
        <f>MONTH(G155)</f>
        <v>11</v>
      </c>
      <c r="D155" s="4">
        <f>YEAR(G155)</f>
        <v>2023</v>
      </c>
      <c r="E155" s="4" t="str">
        <f>TEXT(G155,"dddd")</f>
        <v>Tuesday</v>
      </c>
      <c r="F155" s="4" t="str">
        <f>TEXT(G155,"mmm")</f>
        <v>Nov</v>
      </c>
      <c r="G155" s="3">
        <v>45237</v>
      </c>
      <c r="H155" s="4" t="s">
        <v>188</v>
      </c>
      <c r="I155" s="4" t="s">
        <v>29</v>
      </c>
      <c r="J155" s="4" t="str" cm="1">
        <f t="array" ref="J155">_xlfn.IFS(K155&lt;30,"Young Adult",K155&lt;=50,"Adult",K155&gt;50,"Senior")</f>
        <v>Adult</v>
      </c>
      <c r="K155" s="4">
        <v>33</v>
      </c>
      <c r="L155" s="4" t="s">
        <v>8</v>
      </c>
      <c r="M155" s="4">
        <v>1</v>
      </c>
      <c r="N155" s="19">
        <v>500</v>
      </c>
      <c r="O155" s="15">
        <f>M155 * N155</f>
        <v>500</v>
      </c>
      <c r="P155" s="15">
        <f>O155*$S$3</f>
        <v>7.5</v>
      </c>
      <c r="Q155" s="15">
        <f>O155*$S$4</f>
        <v>10</v>
      </c>
    </row>
    <row r="156" spans="1:17">
      <c r="A156" s="2">
        <v>762</v>
      </c>
      <c r="B156" s="4">
        <f>DAY(G156)</f>
        <v>7</v>
      </c>
      <c r="C156" s="4">
        <f>MONTH(G156)</f>
        <v>11</v>
      </c>
      <c r="D156" s="4">
        <f>YEAR(G156)</f>
        <v>2023</v>
      </c>
      <c r="E156" s="4" t="str">
        <f>TEXT(G156,"dddd")</f>
        <v>Tuesday</v>
      </c>
      <c r="F156" s="4" t="str">
        <f>TEXT(G156,"mmm")</f>
        <v>Nov</v>
      </c>
      <c r="G156" s="3">
        <v>45237</v>
      </c>
      <c r="H156" s="4" t="s">
        <v>189</v>
      </c>
      <c r="I156" s="4" t="s">
        <v>29</v>
      </c>
      <c r="J156" s="4" t="str" cm="1">
        <f t="array" ref="J156">_xlfn.IFS(K156&lt;30,"Young Adult",K156&lt;=50,"Adult",K156&gt;50,"Senior")</f>
        <v>Young Adult</v>
      </c>
      <c r="K156" s="4">
        <v>24</v>
      </c>
      <c r="L156" s="4" t="s">
        <v>9</v>
      </c>
      <c r="M156" s="4">
        <v>2</v>
      </c>
      <c r="N156" s="19">
        <v>25</v>
      </c>
      <c r="O156" s="15">
        <f>M156 * N156</f>
        <v>50</v>
      </c>
      <c r="P156" s="15">
        <f>O156*$S$3</f>
        <v>0.75</v>
      </c>
      <c r="Q156" s="15">
        <f>O156*$S$4</f>
        <v>1</v>
      </c>
    </row>
    <row r="157" spans="1:17">
      <c r="A157" s="2">
        <v>47</v>
      </c>
      <c r="B157" s="4">
        <f>DAY(G157)</f>
        <v>6</v>
      </c>
      <c r="C157" s="4">
        <f>MONTH(G157)</f>
        <v>11</v>
      </c>
      <c r="D157" s="4">
        <f>YEAR(G157)</f>
        <v>2023</v>
      </c>
      <c r="E157" s="4" t="str">
        <f>TEXT(G157,"dddd")</f>
        <v>Monday</v>
      </c>
      <c r="F157" s="4" t="str">
        <f>TEXT(G157,"mmm")</f>
        <v>Nov</v>
      </c>
      <c r="G157" s="3">
        <v>45236</v>
      </c>
      <c r="H157" s="4" t="s">
        <v>190</v>
      </c>
      <c r="I157" s="4" t="s">
        <v>29</v>
      </c>
      <c r="J157" s="4" t="str" cm="1">
        <f t="array" ref="J157">_xlfn.IFS(K157&lt;30,"Young Adult",K157&lt;=50,"Adult",K157&gt;50,"Senior")</f>
        <v>Adult</v>
      </c>
      <c r="K157" s="4">
        <v>40</v>
      </c>
      <c r="L157" s="4" t="s">
        <v>7</v>
      </c>
      <c r="M157" s="4">
        <v>3</v>
      </c>
      <c r="N157" s="19">
        <v>500</v>
      </c>
      <c r="O157" s="15">
        <f>M157 * N157</f>
        <v>1500</v>
      </c>
      <c r="P157" s="15">
        <f>O157*$S$3</f>
        <v>22.5</v>
      </c>
      <c r="Q157" s="15">
        <f>O157*$S$4</f>
        <v>30</v>
      </c>
    </row>
    <row r="158" spans="1:17">
      <c r="A158" s="2">
        <v>405</v>
      </c>
      <c r="B158" s="4">
        <f>DAY(G158)</f>
        <v>6</v>
      </c>
      <c r="C158" s="4">
        <f>MONTH(G158)</f>
        <v>11</v>
      </c>
      <c r="D158" s="4">
        <f>YEAR(G158)</f>
        <v>2023</v>
      </c>
      <c r="E158" s="4" t="str">
        <f>TEXT(G158,"dddd")</f>
        <v>Monday</v>
      </c>
      <c r="F158" s="4" t="str">
        <f>TEXT(G158,"mmm")</f>
        <v>Nov</v>
      </c>
      <c r="G158" s="3">
        <v>45236</v>
      </c>
      <c r="H158" s="4" t="s">
        <v>191</v>
      </c>
      <c r="I158" s="4" t="s">
        <v>29</v>
      </c>
      <c r="J158" s="4" t="str" cm="1">
        <f t="array" ref="J158">_xlfn.IFS(K158&lt;30,"Young Adult",K158&lt;=50,"Adult",K158&gt;50,"Senior")</f>
        <v>Young Adult</v>
      </c>
      <c r="K158" s="4">
        <v>25</v>
      </c>
      <c r="L158" s="4" t="s">
        <v>8</v>
      </c>
      <c r="M158" s="4">
        <v>4</v>
      </c>
      <c r="N158" s="19">
        <v>300</v>
      </c>
      <c r="O158" s="15">
        <f>M158 * N158</f>
        <v>1200</v>
      </c>
      <c r="P158" s="15">
        <f>O158*$S$3</f>
        <v>18</v>
      </c>
      <c r="Q158" s="15">
        <f>O158*$S$4</f>
        <v>24</v>
      </c>
    </row>
    <row r="159" spans="1:17">
      <c r="A159" s="2">
        <v>690</v>
      </c>
      <c r="B159" s="4">
        <f>DAY(G159)</f>
        <v>5</v>
      </c>
      <c r="C159" s="4">
        <f>MONTH(G159)</f>
        <v>11</v>
      </c>
      <c r="D159" s="4">
        <f>YEAR(G159)</f>
        <v>2023</v>
      </c>
      <c r="E159" s="4" t="str">
        <f>TEXT(G159,"dddd")</f>
        <v>Sunday</v>
      </c>
      <c r="F159" s="4" t="str">
        <f>TEXT(G159,"mmm")</f>
        <v>Nov</v>
      </c>
      <c r="G159" s="3">
        <v>45235</v>
      </c>
      <c r="H159" s="4" t="s">
        <v>192</v>
      </c>
      <c r="I159" s="4" t="s">
        <v>29</v>
      </c>
      <c r="J159" s="4" t="str" cm="1">
        <f t="array" ref="J159">_xlfn.IFS(K159&lt;30,"Young Adult",K159&lt;=50,"Adult",K159&gt;50,"Senior")</f>
        <v>Senior</v>
      </c>
      <c r="K159" s="4">
        <v>52</v>
      </c>
      <c r="L159" s="4" t="s">
        <v>8</v>
      </c>
      <c r="M159" s="4">
        <v>3</v>
      </c>
      <c r="N159" s="19">
        <v>300</v>
      </c>
      <c r="O159" s="15">
        <f>M159 * N159</f>
        <v>900</v>
      </c>
      <c r="P159" s="15">
        <f>O159*$S$3</f>
        <v>13.5</v>
      </c>
      <c r="Q159" s="15">
        <f>O159*$S$4</f>
        <v>18</v>
      </c>
    </row>
    <row r="160" spans="1:17">
      <c r="A160" s="2">
        <v>20</v>
      </c>
      <c r="B160" s="4">
        <f>DAY(G160)</f>
        <v>5</v>
      </c>
      <c r="C160" s="4">
        <f>MONTH(G160)</f>
        <v>11</v>
      </c>
      <c r="D160" s="4">
        <f>YEAR(G160)</f>
        <v>2023</v>
      </c>
      <c r="E160" s="4" t="str">
        <f>TEXT(G160,"dddd")</f>
        <v>Sunday</v>
      </c>
      <c r="F160" s="4" t="str">
        <f>TEXT(G160,"mmm")</f>
        <v>Nov</v>
      </c>
      <c r="G160" s="3">
        <v>45235</v>
      </c>
      <c r="H160" s="4" t="s">
        <v>193</v>
      </c>
      <c r="I160" s="4" t="s">
        <v>24</v>
      </c>
      <c r="J160" s="4" t="str" cm="1">
        <f t="array" ref="J160">_xlfn.IFS(K160&lt;30,"Young Adult",K160&lt;=50,"Adult",K160&gt;50,"Senior")</f>
        <v>Young Adult</v>
      </c>
      <c r="K160" s="4">
        <v>22</v>
      </c>
      <c r="L160" s="4" t="s">
        <v>8</v>
      </c>
      <c r="M160" s="4">
        <v>3</v>
      </c>
      <c r="N160" s="19">
        <v>300</v>
      </c>
      <c r="O160" s="15">
        <f>M160 * N160</f>
        <v>900</v>
      </c>
      <c r="P160" s="15">
        <f>O160*$S$3</f>
        <v>13.5</v>
      </c>
      <c r="Q160" s="15">
        <f>O160*$S$4</f>
        <v>18</v>
      </c>
    </row>
    <row r="161" spans="1:17">
      <c r="A161" s="2">
        <v>784</v>
      </c>
      <c r="B161" s="4">
        <f>DAY(G161)</f>
        <v>4</v>
      </c>
      <c r="C161" s="4">
        <f>MONTH(G161)</f>
        <v>11</v>
      </c>
      <c r="D161" s="4">
        <f>YEAR(G161)</f>
        <v>2023</v>
      </c>
      <c r="E161" s="4" t="str">
        <f>TEXT(G161,"dddd")</f>
        <v>Saturday</v>
      </c>
      <c r="F161" s="4" t="str">
        <f>TEXT(G161,"mmm")</f>
        <v>Nov</v>
      </c>
      <c r="G161" s="3">
        <v>45234</v>
      </c>
      <c r="H161" s="4" t="s">
        <v>194</v>
      </c>
      <c r="I161" s="4" t="s">
        <v>29</v>
      </c>
      <c r="J161" s="4" t="str" cm="1">
        <f t="array" ref="J161">_xlfn.IFS(K161&lt;30,"Young Adult",K161&lt;=50,"Adult",K161&gt;50,"Senior")</f>
        <v>Adult</v>
      </c>
      <c r="K161" s="4">
        <v>34</v>
      </c>
      <c r="L161" s="4" t="s">
        <v>9</v>
      </c>
      <c r="M161" s="4">
        <v>1</v>
      </c>
      <c r="N161" s="19">
        <v>500</v>
      </c>
      <c r="O161" s="15">
        <f>M161 * N161</f>
        <v>500</v>
      </c>
      <c r="P161" s="15">
        <f>O161*$S$3</f>
        <v>7.5</v>
      </c>
      <c r="Q161" s="15">
        <f>O161*$S$4</f>
        <v>10</v>
      </c>
    </row>
    <row r="162" spans="1:17">
      <c r="A162" s="2">
        <v>181</v>
      </c>
      <c r="B162" s="4">
        <f>DAY(G162)</f>
        <v>3</v>
      </c>
      <c r="C162" s="4">
        <f>MONTH(G162)</f>
        <v>11</v>
      </c>
      <c r="D162" s="4">
        <f>YEAR(G162)</f>
        <v>2023</v>
      </c>
      <c r="E162" s="4" t="str">
        <f>TEXT(G162,"dddd")</f>
        <v>Friday</v>
      </c>
      <c r="F162" s="4" t="str">
        <f>TEXT(G162,"mmm")</f>
        <v>Nov</v>
      </c>
      <c r="G162" s="3">
        <v>45233</v>
      </c>
      <c r="H162" s="4" t="s">
        <v>195</v>
      </c>
      <c r="I162" s="4" t="s">
        <v>24</v>
      </c>
      <c r="J162" s="4" t="str" cm="1">
        <f t="array" ref="J162">_xlfn.IFS(K162&lt;30,"Young Adult",K162&lt;=50,"Adult",K162&gt;50,"Senior")</f>
        <v>Young Adult</v>
      </c>
      <c r="K162" s="4">
        <v>19</v>
      </c>
      <c r="L162" s="4" t="s">
        <v>9</v>
      </c>
      <c r="M162" s="4">
        <v>4</v>
      </c>
      <c r="N162" s="19">
        <v>300</v>
      </c>
      <c r="O162" s="15">
        <f>M162 * N162</f>
        <v>1200</v>
      </c>
      <c r="P162" s="15">
        <f>O162*$S$3</f>
        <v>18</v>
      </c>
      <c r="Q162" s="15">
        <f>O162*$S$4</f>
        <v>24</v>
      </c>
    </row>
    <row r="163" spans="1:17">
      <c r="A163" s="2">
        <v>898</v>
      </c>
      <c r="B163" s="4">
        <f>DAY(G163)</f>
        <v>2</v>
      </c>
      <c r="C163" s="4">
        <f>MONTH(G163)</f>
        <v>11</v>
      </c>
      <c r="D163" s="4">
        <f>YEAR(G163)</f>
        <v>2023</v>
      </c>
      <c r="E163" s="4" t="str">
        <f>TEXT(G163,"dddd")</f>
        <v>Thursday</v>
      </c>
      <c r="F163" s="4" t="str">
        <f>TEXT(G163,"mmm")</f>
        <v>Nov</v>
      </c>
      <c r="G163" s="3">
        <v>45232</v>
      </c>
      <c r="H163" s="4" t="s">
        <v>196</v>
      </c>
      <c r="I163" s="4" t="s">
        <v>29</v>
      </c>
      <c r="J163" s="4" t="str" cm="1">
        <f t="array" ref="J163">_xlfn.IFS(K163&lt;30,"Young Adult",K163&lt;=50,"Adult",K163&gt;50,"Senior")</f>
        <v>Adult</v>
      </c>
      <c r="K163" s="4">
        <v>42</v>
      </c>
      <c r="L163" s="4" t="s">
        <v>8</v>
      </c>
      <c r="M163" s="4">
        <v>3</v>
      </c>
      <c r="N163" s="19">
        <v>30</v>
      </c>
      <c r="O163" s="15">
        <f>M163 * N163</f>
        <v>90</v>
      </c>
      <c r="P163" s="15">
        <f>O163*$S$3</f>
        <v>1.3499999999999999</v>
      </c>
      <c r="Q163" s="15">
        <f>O163*$S$4</f>
        <v>1.8</v>
      </c>
    </row>
    <row r="164" spans="1:17">
      <c r="A164" s="2">
        <v>145</v>
      </c>
      <c r="B164" s="4">
        <f>DAY(G164)</f>
        <v>2</v>
      </c>
      <c r="C164" s="4">
        <f>MONTH(G164)</f>
        <v>11</v>
      </c>
      <c r="D164" s="4">
        <f>YEAR(G164)</f>
        <v>2023</v>
      </c>
      <c r="E164" s="4" t="str">
        <f>TEXT(G164,"dddd")</f>
        <v>Thursday</v>
      </c>
      <c r="F164" s="4" t="str">
        <f>TEXT(G164,"mmm")</f>
        <v>Nov</v>
      </c>
      <c r="G164" s="3">
        <v>45232</v>
      </c>
      <c r="H164" s="4" t="s">
        <v>197</v>
      </c>
      <c r="I164" s="4" t="s">
        <v>29</v>
      </c>
      <c r="J164" s="4" t="str" cm="1">
        <f t="array" ref="J164">_xlfn.IFS(K164&lt;30,"Young Adult",K164&lt;=50,"Adult",K164&gt;50,"Senior")</f>
        <v>Adult</v>
      </c>
      <c r="K164" s="4">
        <v>39</v>
      </c>
      <c r="L164" s="4" t="s">
        <v>8</v>
      </c>
      <c r="M164" s="4">
        <v>3</v>
      </c>
      <c r="N164" s="19">
        <v>25</v>
      </c>
      <c r="O164" s="15">
        <f>M164 * N164</f>
        <v>75</v>
      </c>
      <c r="P164" s="15">
        <f>O164*$S$3</f>
        <v>1.125</v>
      </c>
      <c r="Q164" s="15">
        <f>O164*$S$4</f>
        <v>1.5</v>
      </c>
    </row>
    <row r="165" spans="1:17">
      <c r="A165" s="2">
        <v>507</v>
      </c>
      <c r="B165" s="4">
        <f>DAY(G165)</f>
        <v>2</v>
      </c>
      <c r="C165" s="4">
        <f>MONTH(G165)</f>
        <v>11</v>
      </c>
      <c r="D165" s="4">
        <f>YEAR(G165)</f>
        <v>2023</v>
      </c>
      <c r="E165" s="4" t="str">
        <f>TEXT(G165,"dddd")</f>
        <v>Thursday</v>
      </c>
      <c r="F165" s="4" t="str">
        <f>TEXT(G165,"mmm")</f>
        <v>Nov</v>
      </c>
      <c r="G165" s="3">
        <v>45232</v>
      </c>
      <c r="H165" s="4" t="s">
        <v>198</v>
      </c>
      <c r="I165" s="4" t="s">
        <v>29</v>
      </c>
      <c r="J165" s="4" t="str" cm="1">
        <f t="array" ref="J165">_xlfn.IFS(K165&lt;30,"Young Adult",K165&lt;=50,"Adult",K165&gt;50,"Senior")</f>
        <v>Adult</v>
      </c>
      <c r="K165" s="4">
        <v>37</v>
      </c>
      <c r="L165" s="4" t="s">
        <v>9</v>
      </c>
      <c r="M165" s="4">
        <v>3</v>
      </c>
      <c r="N165" s="19">
        <v>500</v>
      </c>
      <c r="O165" s="15">
        <f>M165 * N165</f>
        <v>1500</v>
      </c>
      <c r="P165" s="15">
        <f>O165*$S$3</f>
        <v>22.5</v>
      </c>
      <c r="Q165" s="15">
        <f>O165*$S$4</f>
        <v>30</v>
      </c>
    </row>
    <row r="166" spans="1:17">
      <c r="A166" s="2">
        <v>951</v>
      </c>
      <c r="B166" s="4">
        <f>DAY(G166)</f>
        <v>2</v>
      </c>
      <c r="C166" s="4">
        <f>MONTH(G166)</f>
        <v>11</v>
      </c>
      <c r="D166" s="4">
        <f>YEAR(G166)</f>
        <v>2023</v>
      </c>
      <c r="E166" s="4" t="str">
        <f>TEXT(G166,"dddd")</f>
        <v>Thursday</v>
      </c>
      <c r="F166" s="4" t="str">
        <f>TEXT(G166,"mmm")</f>
        <v>Nov</v>
      </c>
      <c r="G166" s="3">
        <v>45232</v>
      </c>
      <c r="H166" s="4" t="s">
        <v>199</v>
      </c>
      <c r="I166" s="4" t="s">
        <v>24</v>
      </c>
      <c r="J166" s="4" t="str" cm="1">
        <f t="array" ref="J166">_xlfn.IFS(K166&lt;30,"Young Adult",K166&lt;=50,"Adult",K166&gt;50,"Senior")</f>
        <v>Adult</v>
      </c>
      <c r="K166" s="4">
        <v>33</v>
      </c>
      <c r="L166" s="4" t="s">
        <v>7</v>
      </c>
      <c r="M166" s="4">
        <v>2</v>
      </c>
      <c r="N166" s="19">
        <v>50</v>
      </c>
      <c r="O166" s="15">
        <f>M166 * N166</f>
        <v>100</v>
      </c>
      <c r="P166" s="15">
        <f>O166*$S$3</f>
        <v>1.5</v>
      </c>
      <c r="Q166" s="15">
        <f>O166*$S$4</f>
        <v>2</v>
      </c>
    </row>
    <row r="167" spans="1:17">
      <c r="A167" s="2">
        <v>841</v>
      </c>
      <c r="B167" s="4">
        <f>DAY(G167)</f>
        <v>2</v>
      </c>
      <c r="C167" s="4">
        <f>MONTH(G167)</f>
        <v>11</v>
      </c>
      <c r="D167" s="4">
        <f>YEAR(G167)</f>
        <v>2023</v>
      </c>
      <c r="E167" s="4" t="str">
        <f>TEXT(G167,"dddd")</f>
        <v>Thursday</v>
      </c>
      <c r="F167" s="4" t="str">
        <f>TEXT(G167,"mmm")</f>
        <v>Nov</v>
      </c>
      <c r="G167" s="3">
        <v>45232</v>
      </c>
      <c r="H167" s="4" t="s">
        <v>200</v>
      </c>
      <c r="I167" s="4" t="s">
        <v>24</v>
      </c>
      <c r="J167" s="4" t="str" cm="1">
        <f t="array" ref="J167">_xlfn.IFS(K167&lt;30,"Young Adult",K167&lt;=50,"Adult",K167&gt;50,"Senior")</f>
        <v>Adult</v>
      </c>
      <c r="K167" s="4">
        <v>31</v>
      </c>
      <c r="L167" s="4" t="s">
        <v>9</v>
      </c>
      <c r="M167" s="4">
        <v>4</v>
      </c>
      <c r="N167" s="19">
        <v>25</v>
      </c>
      <c r="O167" s="15">
        <f>M167 * N167</f>
        <v>100</v>
      </c>
      <c r="P167" s="15">
        <f>O167*$S$3</f>
        <v>1.5</v>
      </c>
      <c r="Q167" s="15">
        <f>O167*$S$4</f>
        <v>2</v>
      </c>
    </row>
    <row r="168" spans="1:17">
      <c r="A168" s="2">
        <v>141</v>
      </c>
      <c r="B168" s="4">
        <f>DAY(G168)</f>
        <v>2</v>
      </c>
      <c r="C168" s="4">
        <f>MONTH(G168)</f>
        <v>11</v>
      </c>
      <c r="D168" s="4">
        <f>YEAR(G168)</f>
        <v>2023</v>
      </c>
      <c r="E168" s="4" t="str">
        <f>TEXT(G168,"dddd")</f>
        <v>Thursday</v>
      </c>
      <c r="F168" s="4" t="str">
        <f>TEXT(G168,"mmm")</f>
        <v>Nov</v>
      </c>
      <c r="G168" s="3">
        <v>45232</v>
      </c>
      <c r="H168" s="4" t="s">
        <v>201</v>
      </c>
      <c r="I168" s="4" t="s">
        <v>29</v>
      </c>
      <c r="J168" s="4" t="str" cm="1">
        <f t="array" ref="J168">_xlfn.IFS(K168&lt;30,"Young Adult",K168&lt;=50,"Adult",K168&gt;50,"Senior")</f>
        <v>Young Adult</v>
      </c>
      <c r="K168" s="4">
        <v>22</v>
      </c>
      <c r="L168" s="4" t="s">
        <v>9</v>
      </c>
      <c r="M168" s="4">
        <v>1</v>
      </c>
      <c r="N168" s="19">
        <v>50</v>
      </c>
      <c r="O168" s="15">
        <f>M168 * N168</f>
        <v>50</v>
      </c>
      <c r="P168" s="15">
        <f>O168*$S$3</f>
        <v>0.75</v>
      </c>
      <c r="Q168" s="15">
        <f>O168*$S$4</f>
        <v>1</v>
      </c>
    </row>
    <row r="169" spans="1:17">
      <c r="A169" s="2">
        <v>334</v>
      </c>
      <c r="B169" s="4">
        <f>DAY(G169)</f>
        <v>1</v>
      </c>
      <c r="C169" s="4">
        <f>MONTH(G169)</f>
        <v>11</v>
      </c>
      <c r="D169" s="4">
        <f>YEAR(G169)</f>
        <v>2023</v>
      </c>
      <c r="E169" s="4" t="str">
        <f>TEXT(G169,"dddd")</f>
        <v>Wednesday</v>
      </c>
      <c r="F169" s="4" t="str">
        <f>TEXT(G169,"mmm")</f>
        <v>Nov</v>
      </c>
      <c r="G169" s="3">
        <v>45231</v>
      </c>
      <c r="H169" s="4" t="s">
        <v>202</v>
      </c>
      <c r="I169" s="4" t="s">
        <v>24</v>
      </c>
      <c r="J169" s="4" t="str" cm="1">
        <f t="array" ref="J169">_xlfn.IFS(K169&lt;30,"Young Adult",K169&lt;=50,"Adult",K169&gt;50,"Senior")</f>
        <v>Adult</v>
      </c>
      <c r="K169" s="4">
        <v>31</v>
      </c>
      <c r="L169" s="4" t="s">
        <v>9</v>
      </c>
      <c r="M169" s="4">
        <v>3</v>
      </c>
      <c r="N169" s="19">
        <v>300</v>
      </c>
      <c r="O169" s="15">
        <f>M169 * N169</f>
        <v>900</v>
      </c>
      <c r="P169" s="15">
        <f>O169*$S$3</f>
        <v>13.5</v>
      </c>
      <c r="Q169" s="15">
        <f>O169*$S$4</f>
        <v>18</v>
      </c>
    </row>
    <row r="170" spans="1:17">
      <c r="A170" s="2">
        <v>983</v>
      </c>
      <c r="B170" s="4">
        <f>DAY(G170)</f>
        <v>1</v>
      </c>
      <c r="C170" s="4">
        <f>MONTH(G170)</f>
        <v>11</v>
      </c>
      <c r="D170" s="4">
        <f>YEAR(G170)</f>
        <v>2023</v>
      </c>
      <c r="E170" s="4" t="str">
        <f>TEXT(G170,"dddd")</f>
        <v>Wednesday</v>
      </c>
      <c r="F170" s="4" t="str">
        <f>TEXT(G170,"mmm")</f>
        <v>Nov</v>
      </c>
      <c r="G170" s="3">
        <v>45231</v>
      </c>
      <c r="H170" s="4" t="s">
        <v>203</v>
      </c>
      <c r="I170" s="4" t="s">
        <v>29</v>
      </c>
      <c r="J170" s="4" t="str" cm="1">
        <f t="array" ref="J170">_xlfn.IFS(K170&lt;30,"Young Adult",K170&lt;=50,"Adult",K170&gt;50,"Senior")</f>
        <v>Young Adult</v>
      </c>
      <c r="K170" s="4">
        <v>29</v>
      </c>
      <c r="L170" s="4" t="s">
        <v>8</v>
      </c>
      <c r="M170" s="4">
        <v>1</v>
      </c>
      <c r="N170" s="19">
        <v>300</v>
      </c>
      <c r="O170" s="15">
        <f>M170 * N170</f>
        <v>300</v>
      </c>
      <c r="P170" s="15">
        <f>O170*$S$3</f>
        <v>4.5</v>
      </c>
      <c r="Q170" s="15">
        <f>O170*$S$4</f>
        <v>6</v>
      </c>
    </row>
    <row r="171" spans="1:17">
      <c r="A171" s="2">
        <v>343</v>
      </c>
      <c r="B171" s="4">
        <f>DAY(G171)</f>
        <v>1</v>
      </c>
      <c r="C171" s="4">
        <f>MONTH(G171)</f>
        <v>11</v>
      </c>
      <c r="D171" s="4">
        <f>YEAR(G171)</f>
        <v>2023</v>
      </c>
      <c r="E171" s="4" t="str">
        <f>TEXT(G171,"dddd")</f>
        <v>Wednesday</v>
      </c>
      <c r="F171" s="4" t="str">
        <f>TEXT(G171,"mmm")</f>
        <v>Nov</v>
      </c>
      <c r="G171" s="3">
        <v>45231</v>
      </c>
      <c r="H171" s="4" t="s">
        <v>204</v>
      </c>
      <c r="I171" s="4" t="s">
        <v>24</v>
      </c>
      <c r="J171" s="4" t="str" cm="1">
        <f t="array" ref="J171">_xlfn.IFS(K171&lt;30,"Young Adult",K171&lt;=50,"Adult",K171&gt;50,"Senior")</f>
        <v>Young Adult</v>
      </c>
      <c r="K171" s="4">
        <v>21</v>
      </c>
      <c r="L171" s="4" t="s">
        <v>9</v>
      </c>
      <c r="M171" s="4">
        <v>2</v>
      </c>
      <c r="N171" s="19">
        <v>25</v>
      </c>
      <c r="O171" s="15">
        <f>M171 * N171</f>
        <v>50</v>
      </c>
      <c r="P171" s="15">
        <f>O171*$S$3</f>
        <v>0.75</v>
      </c>
      <c r="Q171" s="15">
        <f>O171*$S$4</f>
        <v>1</v>
      </c>
    </row>
    <row r="172" spans="1:17">
      <c r="A172" s="2">
        <v>628</v>
      </c>
      <c r="B172" s="4">
        <f>DAY(G172)</f>
        <v>1</v>
      </c>
      <c r="C172" s="4">
        <f>MONTH(G172)</f>
        <v>11</v>
      </c>
      <c r="D172" s="4">
        <f>YEAR(G172)</f>
        <v>2023</v>
      </c>
      <c r="E172" s="4" t="str">
        <f>TEXT(G172,"dddd")</f>
        <v>Wednesday</v>
      </c>
      <c r="F172" s="4" t="str">
        <f>TEXT(G172,"mmm")</f>
        <v>Nov</v>
      </c>
      <c r="G172" s="3">
        <v>45231</v>
      </c>
      <c r="H172" s="4" t="s">
        <v>205</v>
      </c>
      <c r="I172" s="4" t="s">
        <v>29</v>
      </c>
      <c r="J172" s="4" t="str" cm="1">
        <f t="array" ref="J172">_xlfn.IFS(K172&lt;30,"Young Adult",K172&lt;=50,"Adult",K172&gt;50,"Senior")</f>
        <v>Young Adult</v>
      </c>
      <c r="K172" s="4">
        <v>19</v>
      </c>
      <c r="L172" s="4" t="s">
        <v>7</v>
      </c>
      <c r="M172" s="4">
        <v>4</v>
      </c>
      <c r="N172" s="19">
        <v>50</v>
      </c>
      <c r="O172" s="15">
        <f>M172 * N172</f>
        <v>200</v>
      </c>
      <c r="P172" s="15">
        <f>O172*$S$3</f>
        <v>3</v>
      </c>
      <c r="Q172" s="15">
        <f>O172*$S$4</f>
        <v>4</v>
      </c>
    </row>
    <row r="173" spans="1:17">
      <c r="A173" s="2">
        <v>776</v>
      </c>
      <c r="B173" s="4">
        <f>DAY(G173)</f>
        <v>31</v>
      </c>
      <c r="C173" s="4">
        <f>MONTH(G173)</f>
        <v>10</v>
      </c>
      <c r="D173" s="4">
        <f>YEAR(G173)</f>
        <v>2023</v>
      </c>
      <c r="E173" s="4" t="str">
        <f>TEXT(G173,"dddd")</f>
        <v>Tuesday</v>
      </c>
      <c r="F173" s="4" t="str">
        <f>TEXT(G173,"mmm")</f>
        <v>Oct</v>
      </c>
      <c r="G173" s="3">
        <v>45230</v>
      </c>
      <c r="H173" s="4" t="s">
        <v>206</v>
      </c>
      <c r="I173" s="4" t="s">
        <v>24</v>
      </c>
      <c r="J173" s="4" t="str" cm="1">
        <f t="array" ref="J173">_xlfn.IFS(K173&lt;30,"Young Adult",K173&lt;=50,"Adult",K173&gt;50,"Senior")</f>
        <v>Adult</v>
      </c>
      <c r="K173" s="4">
        <v>35</v>
      </c>
      <c r="L173" s="4" t="s">
        <v>8</v>
      </c>
      <c r="M173" s="4">
        <v>3</v>
      </c>
      <c r="N173" s="19">
        <v>30</v>
      </c>
      <c r="O173" s="15">
        <f>M173 * N173</f>
        <v>90</v>
      </c>
      <c r="P173" s="15">
        <f>O173*$S$3</f>
        <v>1.3499999999999999</v>
      </c>
      <c r="Q173" s="15">
        <f>O173*$S$4</f>
        <v>1.8</v>
      </c>
    </row>
    <row r="174" spans="1:17">
      <c r="A174" s="2">
        <v>817</v>
      </c>
      <c r="B174" s="4">
        <f>DAY(G174)</f>
        <v>31</v>
      </c>
      <c r="C174" s="4">
        <f>MONTH(G174)</f>
        <v>10</v>
      </c>
      <c r="D174" s="4">
        <f>YEAR(G174)</f>
        <v>2023</v>
      </c>
      <c r="E174" s="4" t="str">
        <f>TEXT(G174,"dddd")</f>
        <v>Tuesday</v>
      </c>
      <c r="F174" s="4" t="str">
        <f>TEXT(G174,"mmm")</f>
        <v>Oct</v>
      </c>
      <c r="G174" s="3">
        <v>45230</v>
      </c>
      <c r="H174" s="4" t="s">
        <v>207</v>
      </c>
      <c r="I174" s="4" t="s">
        <v>24</v>
      </c>
      <c r="J174" s="4" t="str" cm="1">
        <f t="array" ref="J174">_xlfn.IFS(K174&lt;30,"Young Adult",K174&lt;=50,"Adult",K174&gt;50,"Senior")</f>
        <v>Adult</v>
      </c>
      <c r="K174" s="4">
        <v>30</v>
      </c>
      <c r="L174" s="4" t="s">
        <v>7</v>
      </c>
      <c r="M174" s="4">
        <v>4</v>
      </c>
      <c r="N174" s="19">
        <v>50</v>
      </c>
      <c r="O174" s="15">
        <f>M174 * N174</f>
        <v>200</v>
      </c>
      <c r="P174" s="15">
        <f>O174*$S$3</f>
        <v>3</v>
      </c>
      <c r="Q174" s="15">
        <f>O174*$S$4</f>
        <v>4</v>
      </c>
    </row>
    <row r="175" spans="1:17">
      <c r="A175" s="2">
        <v>710</v>
      </c>
      <c r="B175" s="4">
        <f>DAY(G175)</f>
        <v>31</v>
      </c>
      <c r="C175" s="4">
        <f>MONTH(G175)</f>
        <v>10</v>
      </c>
      <c r="D175" s="4">
        <f>YEAR(G175)</f>
        <v>2023</v>
      </c>
      <c r="E175" s="4" t="str">
        <f>TEXT(G175,"dddd")</f>
        <v>Tuesday</v>
      </c>
      <c r="F175" s="4" t="str">
        <f>TEXT(G175,"mmm")</f>
        <v>Oct</v>
      </c>
      <c r="G175" s="3">
        <v>45230</v>
      </c>
      <c r="H175" s="4" t="s">
        <v>208</v>
      </c>
      <c r="I175" s="4" t="s">
        <v>29</v>
      </c>
      <c r="J175" s="4" t="str" cm="1">
        <f t="array" ref="J175">_xlfn.IFS(K175&lt;30,"Young Adult",K175&lt;=50,"Adult",K175&gt;50,"Senior")</f>
        <v>Young Adult</v>
      </c>
      <c r="K175" s="4">
        <v>26</v>
      </c>
      <c r="L175" s="4" t="s">
        <v>9</v>
      </c>
      <c r="M175" s="4">
        <v>3</v>
      </c>
      <c r="N175" s="19">
        <v>500</v>
      </c>
      <c r="O175" s="15">
        <f>M175 * N175</f>
        <v>1500</v>
      </c>
      <c r="P175" s="15">
        <f>O175*$S$3</f>
        <v>22.5</v>
      </c>
      <c r="Q175" s="15">
        <f>O175*$S$4</f>
        <v>30</v>
      </c>
    </row>
    <row r="176" spans="1:17">
      <c r="A176" s="2">
        <v>12</v>
      </c>
      <c r="B176" s="4">
        <f>DAY(G176)</f>
        <v>30</v>
      </c>
      <c r="C176" s="4">
        <f>MONTH(G176)</f>
        <v>10</v>
      </c>
      <c r="D176" s="4">
        <f>YEAR(G176)</f>
        <v>2023</v>
      </c>
      <c r="E176" s="4" t="str">
        <f>TEXT(G176,"dddd")</f>
        <v>Monday</v>
      </c>
      <c r="F176" s="4" t="str">
        <f>TEXT(G176,"mmm")</f>
        <v>Oct</v>
      </c>
      <c r="G176" s="3">
        <v>45229</v>
      </c>
      <c r="H176" s="4" t="s">
        <v>209</v>
      </c>
      <c r="I176" s="4" t="s">
        <v>24</v>
      </c>
      <c r="J176" s="4" t="str" cm="1">
        <f t="array" ref="J176">_xlfn.IFS(K176&lt;30,"Young Adult",K176&lt;=50,"Adult",K176&gt;50,"Senior")</f>
        <v>Adult</v>
      </c>
      <c r="K176" s="4">
        <v>35</v>
      </c>
      <c r="L176" s="4" t="s">
        <v>7</v>
      </c>
      <c r="M176" s="4">
        <v>3</v>
      </c>
      <c r="N176" s="19">
        <v>25</v>
      </c>
      <c r="O176" s="15">
        <f>M176 * N176</f>
        <v>75</v>
      </c>
      <c r="P176" s="15">
        <f>O176*$S$3</f>
        <v>1.125</v>
      </c>
      <c r="Q176" s="15">
        <f>O176*$S$4</f>
        <v>1.5</v>
      </c>
    </row>
    <row r="177" spans="1:17">
      <c r="A177" s="2">
        <v>226</v>
      </c>
      <c r="B177" s="4">
        <f>DAY(G177)</f>
        <v>29</v>
      </c>
      <c r="C177" s="4">
        <f>MONTH(G177)</f>
        <v>10</v>
      </c>
      <c r="D177" s="4">
        <f>YEAR(G177)</f>
        <v>2023</v>
      </c>
      <c r="E177" s="4" t="str">
        <f>TEXT(G177,"dddd")</f>
        <v>Sunday</v>
      </c>
      <c r="F177" s="4" t="str">
        <f>TEXT(G177,"mmm")</f>
        <v>Oct</v>
      </c>
      <c r="G177" s="3">
        <v>45228</v>
      </c>
      <c r="H177" s="4" t="s">
        <v>210</v>
      </c>
      <c r="I177" s="4" t="s">
        <v>29</v>
      </c>
      <c r="J177" s="4" t="str" cm="1">
        <f t="array" ref="J177">_xlfn.IFS(K177&lt;30,"Young Adult",K177&lt;=50,"Adult",K177&gt;50,"Senior")</f>
        <v>Senior</v>
      </c>
      <c r="K177" s="4">
        <v>61</v>
      </c>
      <c r="L177" s="4" t="s">
        <v>8</v>
      </c>
      <c r="M177" s="4">
        <v>1</v>
      </c>
      <c r="N177" s="19">
        <v>50</v>
      </c>
      <c r="O177" s="15">
        <f>M177 * N177</f>
        <v>50</v>
      </c>
      <c r="P177" s="15">
        <f>O177*$S$3</f>
        <v>0.75</v>
      </c>
      <c r="Q177" s="15">
        <f>O177*$S$4</f>
        <v>1</v>
      </c>
    </row>
    <row r="178" spans="1:17">
      <c r="A178" s="2">
        <v>229</v>
      </c>
      <c r="B178" s="4">
        <f>DAY(G178)</f>
        <v>29</v>
      </c>
      <c r="C178" s="4">
        <f>MONTH(G178)</f>
        <v>10</v>
      </c>
      <c r="D178" s="4">
        <f>YEAR(G178)</f>
        <v>2023</v>
      </c>
      <c r="E178" s="4" t="str">
        <f>TEXT(G178,"dddd")</f>
        <v>Sunday</v>
      </c>
      <c r="F178" s="4" t="str">
        <f>TEXT(G178,"mmm")</f>
        <v>Oct</v>
      </c>
      <c r="G178" s="3">
        <v>45228</v>
      </c>
      <c r="H178" s="4" t="s">
        <v>211</v>
      </c>
      <c r="I178" s="4" t="s">
        <v>24</v>
      </c>
      <c r="J178" s="4" t="str" cm="1">
        <f t="array" ref="J178">_xlfn.IFS(K178&lt;30,"Young Adult",K178&lt;=50,"Adult",K178&gt;50,"Senior")</f>
        <v>Senior</v>
      </c>
      <c r="K178" s="4">
        <v>58</v>
      </c>
      <c r="L178" s="4" t="s">
        <v>7</v>
      </c>
      <c r="M178" s="4">
        <v>3</v>
      </c>
      <c r="N178" s="19">
        <v>30</v>
      </c>
      <c r="O178" s="15">
        <f>M178 * N178</f>
        <v>90</v>
      </c>
      <c r="P178" s="15">
        <f>O178*$S$3</f>
        <v>1.3499999999999999</v>
      </c>
      <c r="Q178" s="15">
        <f>O178*$S$4</f>
        <v>1.8</v>
      </c>
    </row>
    <row r="179" spans="1:17">
      <c r="A179" s="2">
        <v>959</v>
      </c>
      <c r="B179" s="4">
        <f>DAY(G179)</f>
        <v>29</v>
      </c>
      <c r="C179" s="4">
        <f>MONTH(G179)</f>
        <v>10</v>
      </c>
      <c r="D179" s="4">
        <f>YEAR(G179)</f>
        <v>2023</v>
      </c>
      <c r="E179" s="4" t="str">
        <f>TEXT(G179,"dddd")</f>
        <v>Sunday</v>
      </c>
      <c r="F179" s="4" t="str">
        <f>TEXT(G179,"mmm")</f>
        <v>Oct</v>
      </c>
      <c r="G179" s="3">
        <v>45228</v>
      </c>
      <c r="H179" s="4" t="s">
        <v>212</v>
      </c>
      <c r="I179" s="4" t="s">
        <v>29</v>
      </c>
      <c r="J179" s="4" t="str" cm="1">
        <f t="array" ref="J179">_xlfn.IFS(K179&lt;30,"Young Adult",K179&lt;=50,"Adult",K179&gt;50,"Senior")</f>
        <v>Adult</v>
      </c>
      <c r="K179" s="4">
        <v>42</v>
      </c>
      <c r="L179" s="4" t="s">
        <v>9</v>
      </c>
      <c r="M179" s="4">
        <v>2</v>
      </c>
      <c r="N179" s="19">
        <v>30</v>
      </c>
      <c r="O179" s="15">
        <f>M179 * N179</f>
        <v>60</v>
      </c>
      <c r="P179" s="15">
        <f>O179*$S$3</f>
        <v>0.89999999999999991</v>
      </c>
      <c r="Q179" s="15">
        <f>O179*$S$4</f>
        <v>1.2</v>
      </c>
    </row>
    <row r="180" spans="1:17">
      <c r="A180" s="2">
        <v>30</v>
      </c>
      <c r="B180" s="4">
        <f>DAY(G180)</f>
        <v>29</v>
      </c>
      <c r="C180" s="4">
        <f>MONTH(G180)</f>
        <v>10</v>
      </c>
      <c r="D180" s="4">
        <f>YEAR(G180)</f>
        <v>2023</v>
      </c>
      <c r="E180" s="4" t="str">
        <f>TEXT(G180,"dddd")</f>
        <v>Sunday</v>
      </c>
      <c r="F180" s="4" t="str">
        <f>TEXT(G180,"mmm")</f>
        <v>Oct</v>
      </c>
      <c r="G180" s="3">
        <v>45228</v>
      </c>
      <c r="H180" s="4" t="s">
        <v>213</v>
      </c>
      <c r="I180" s="4" t="s">
        <v>29</v>
      </c>
      <c r="J180" s="4" t="str" cm="1">
        <f t="array" ref="J180">_xlfn.IFS(K180&lt;30,"Young Adult",K180&lt;=50,"Adult",K180&gt;50,"Senior")</f>
        <v>Adult</v>
      </c>
      <c r="K180" s="4">
        <v>39</v>
      </c>
      <c r="L180" s="4" t="s">
        <v>7</v>
      </c>
      <c r="M180" s="4">
        <v>3</v>
      </c>
      <c r="N180" s="19">
        <v>300</v>
      </c>
      <c r="O180" s="15">
        <f>M180 * N180</f>
        <v>900</v>
      </c>
      <c r="P180" s="15">
        <f>O180*$S$3</f>
        <v>13.5</v>
      </c>
      <c r="Q180" s="15">
        <f>O180*$S$4</f>
        <v>18</v>
      </c>
    </row>
    <row r="181" spans="1:17">
      <c r="A181" s="2">
        <v>896</v>
      </c>
      <c r="B181" s="4">
        <f>DAY(G181)</f>
        <v>29</v>
      </c>
      <c r="C181" s="4">
        <f>MONTH(G181)</f>
        <v>10</v>
      </c>
      <c r="D181" s="4">
        <f>YEAR(G181)</f>
        <v>2023</v>
      </c>
      <c r="E181" s="4" t="str">
        <f>TEXT(G181,"dddd")</f>
        <v>Sunday</v>
      </c>
      <c r="F181" s="4" t="str">
        <f>TEXT(G181,"mmm")</f>
        <v>Oct</v>
      </c>
      <c r="G181" s="3">
        <v>45228</v>
      </c>
      <c r="H181" s="4" t="s">
        <v>214</v>
      </c>
      <c r="I181" s="4" t="s">
        <v>29</v>
      </c>
      <c r="J181" s="4" t="str" cm="1">
        <f t="array" ref="J181">_xlfn.IFS(K181&lt;30,"Young Adult",K181&lt;=50,"Adult",K181&gt;50,"Senior")</f>
        <v>Adult</v>
      </c>
      <c r="K181" s="4">
        <v>30</v>
      </c>
      <c r="L181" s="4" t="s">
        <v>9</v>
      </c>
      <c r="M181" s="4">
        <v>2</v>
      </c>
      <c r="N181" s="19">
        <v>25</v>
      </c>
      <c r="O181" s="15">
        <f>M181 * N181</f>
        <v>50</v>
      </c>
      <c r="P181" s="15">
        <f>O181*$S$3</f>
        <v>0.75</v>
      </c>
      <c r="Q181" s="15">
        <f>O181*$S$4</f>
        <v>1</v>
      </c>
    </row>
    <row r="182" spans="1:17">
      <c r="A182" s="2">
        <v>998</v>
      </c>
      <c r="B182" s="4">
        <f>DAY(G182)</f>
        <v>29</v>
      </c>
      <c r="C182" s="4">
        <f>MONTH(G182)</f>
        <v>10</v>
      </c>
      <c r="D182" s="4">
        <f>YEAR(G182)</f>
        <v>2023</v>
      </c>
      <c r="E182" s="4" t="str">
        <f>TEXT(G182,"dddd")</f>
        <v>Sunday</v>
      </c>
      <c r="F182" s="4" t="str">
        <f>TEXT(G182,"mmm")</f>
        <v>Oct</v>
      </c>
      <c r="G182" s="3">
        <v>45228</v>
      </c>
      <c r="H182" s="4" t="s">
        <v>215</v>
      </c>
      <c r="I182" s="4" t="s">
        <v>29</v>
      </c>
      <c r="J182" s="4" t="str" cm="1">
        <f t="array" ref="J182">_xlfn.IFS(K182&lt;30,"Young Adult",K182&lt;=50,"Adult",K182&gt;50,"Senior")</f>
        <v>Young Adult</v>
      </c>
      <c r="K182" s="4">
        <v>23</v>
      </c>
      <c r="L182" s="4" t="s">
        <v>7</v>
      </c>
      <c r="M182" s="4">
        <v>4</v>
      </c>
      <c r="N182" s="19">
        <v>25</v>
      </c>
      <c r="O182" s="15">
        <f>M182 * N182</f>
        <v>100</v>
      </c>
      <c r="P182" s="15">
        <f>O182*$S$3</f>
        <v>1.5</v>
      </c>
      <c r="Q182" s="15">
        <f>O182*$S$4</f>
        <v>2</v>
      </c>
    </row>
    <row r="183" spans="1:17">
      <c r="A183" s="2">
        <v>324</v>
      </c>
      <c r="B183" s="4">
        <f>DAY(G183)</f>
        <v>27</v>
      </c>
      <c r="C183" s="4">
        <f>MONTH(G183)</f>
        <v>10</v>
      </c>
      <c r="D183" s="4">
        <f>YEAR(G183)</f>
        <v>2023</v>
      </c>
      <c r="E183" s="4" t="str">
        <f>TEXT(G183,"dddd")</f>
        <v>Friday</v>
      </c>
      <c r="F183" s="4" t="str">
        <f>TEXT(G183,"mmm")</f>
        <v>Oct</v>
      </c>
      <c r="G183" s="3">
        <v>45226</v>
      </c>
      <c r="H183" s="4" t="s">
        <v>216</v>
      </c>
      <c r="I183" s="4" t="s">
        <v>29</v>
      </c>
      <c r="J183" s="4" t="str" cm="1">
        <f t="array" ref="J183">_xlfn.IFS(K183&lt;30,"Young Adult",K183&lt;=50,"Adult",K183&gt;50,"Senior")</f>
        <v>Senior</v>
      </c>
      <c r="K183" s="4">
        <v>52</v>
      </c>
      <c r="L183" s="4" t="s">
        <v>9</v>
      </c>
      <c r="M183" s="4">
        <v>3</v>
      </c>
      <c r="N183" s="19">
        <v>50</v>
      </c>
      <c r="O183" s="15">
        <f>M183 * N183</f>
        <v>150</v>
      </c>
      <c r="P183" s="15">
        <f>O183*$S$3</f>
        <v>2.25</v>
      </c>
      <c r="Q183" s="15">
        <f>O183*$S$4</f>
        <v>3</v>
      </c>
    </row>
    <row r="184" spans="1:17">
      <c r="A184" s="2">
        <v>124</v>
      </c>
      <c r="B184" s="4">
        <f>DAY(G184)</f>
        <v>27</v>
      </c>
      <c r="C184" s="4">
        <f>MONTH(G184)</f>
        <v>10</v>
      </c>
      <c r="D184" s="4">
        <f>YEAR(G184)</f>
        <v>2023</v>
      </c>
      <c r="E184" s="4" t="str">
        <f>TEXT(G184,"dddd")</f>
        <v>Friday</v>
      </c>
      <c r="F184" s="4" t="str">
        <f>TEXT(G184,"mmm")</f>
        <v>Oct</v>
      </c>
      <c r="G184" s="3">
        <v>45226</v>
      </c>
      <c r="H184" s="4" t="s">
        <v>217</v>
      </c>
      <c r="I184" s="4" t="s">
        <v>24</v>
      </c>
      <c r="J184" s="4" t="str" cm="1">
        <f t="array" ref="J184">_xlfn.IFS(K184&lt;30,"Young Adult",K184&lt;=50,"Adult",K184&gt;50,"Senior")</f>
        <v>Adult</v>
      </c>
      <c r="K184" s="4">
        <v>33</v>
      </c>
      <c r="L184" s="4" t="s">
        <v>8</v>
      </c>
      <c r="M184" s="4">
        <v>4</v>
      </c>
      <c r="N184" s="19">
        <v>500</v>
      </c>
      <c r="O184" s="15">
        <f>M184 * N184</f>
        <v>2000</v>
      </c>
      <c r="P184" s="15">
        <f>O184*$S$3</f>
        <v>30</v>
      </c>
      <c r="Q184" s="15">
        <f>O184*$S$4</f>
        <v>40</v>
      </c>
    </row>
    <row r="185" spans="1:17">
      <c r="A185" s="2">
        <v>677</v>
      </c>
      <c r="B185" s="4">
        <f>DAY(G185)</f>
        <v>27</v>
      </c>
      <c r="C185" s="4">
        <f>MONTH(G185)</f>
        <v>10</v>
      </c>
      <c r="D185" s="4">
        <f>YEAR(G185)</f>
        <v>2023</v>
      </c>
      <c r="E185" s="4" t="str">
        <f>TEXT(G185,"dddd")</f>
        <v>Friday</v>
      </c>
      <c r="F185" s="4" t="str">
        <f>TEXT(G185,"mmm")</f>
        <v>Oct</v>
      </c>
      <c r="G185" s="3">
        <v>45226</v>
      </c>
      <c r="H185" s="4" t="s">
        <v>218</v>
      </c>
      <c r="I185" s="4" t="s">
        <v>29</v>
      </c>
      <c r="J185" s="4" t="str" cm="1">
        <f t="array" ref="J185">_xlfn.IFS(K185&lt;30,"Young Adult",K185&lt;=50,"Adult",K185&gt;50,"Senior")</f>
        <v>Young Adult</v>
      </c>
      <c r="K185" s="4">
        <v>19</v>
      </c>
      <c r="L185" s="4" t="s">
        <v>7</v>
      </c>
      <c r="M185" s="4">
        <v>3</v>
      </c>
      <c r="N185" s="19">
        <v>500</v>
      </c>
      <c r="O185" s="15">
        <f>M185 * N185</f>
        <v>1500</v>
      </c>
      <c r="P185" s="15">
        <f>O185*$S$3</f>
        <v>22.5</v>
      </c>
      <c r="Q185" s="15">
        <f>O185*$S$4</f>
        <v>30</v>
      </c>
    </row>
    <row r="186" spans="1:17">
      <c r="A186" s="2">
        <v>440</v>
      </c>
      <c r="B186" s="4">
        <f>DAY(G186)</f>
        <v>26</v>
      </c>
      <c r="C186" s="4">
        <f>MONTH(G186)</f>
        <v>10</v>
      </c>
      <c r="D186" s="4">
        <f>YEAR(G186)</f>
        <v>2023</v>
      </c>
      <c r="E186" s="4" t="str">
        <f>TEXT(G186,"dddd")</f>
        <v>Thursday</v>
      </c>
      <c r="F186" s="4" t="str">
        <f>TEXT(G186,"mmm")</f>
        <v>Oct</v>
      </c>
      <c r="G186" s="3">
        <v>45225</v>
      </c>
      <c r="H186" s="4" t="s">
        <v>219</v>
      </c>
      <c r="I186" s="4" t="s">
        <v>24</v>
      </c>
      <c r="J186" s="4" t="str" cm="1">
        <f t="array" ref="J186">_xlfn.IFS(K186&lt;30,"Young Adult",K186&lt;=50,"Adult",K186&gt;50,"Senior")</f>
        <v>Senior</v>
      </c>
      <c r="K186" s="4">
        <v>64</v>
      </c>
      <c r="L186" s="4" t="s">
        <v>8</v>
      </c>
      <c r="M186" s="4">
        <v>2</v>
      </c>
      <c r="N186" s="19">
        <v>300</v>
      </c>
      <c r="O186" s="15">
        <f>M186 * N186</f>
        <v>600</v>
      </c>
      <c r="P186" s="15">
        <f>O186*$S$3</f>
        <v>9</v>
      </c>
      <c r="Q186" s="15">
        <f>O186*$S$4</f>
        <v>12</v>
      </c>
    </row>
    <row r="187" spans="1:17">
      <c r="A187" s="2">
        <v>349</v>
      </c>
      <c r="B187" s="4">
        <f>DAY(G187)</f>
        <v>26</v>
      </c>
      <c r="C187" s="4">
        <f>MONTH(G187)</f>
        <v>10</v>
      </c>
      <c r="D187" s="4">
        <f>YEAR(G187)</f>
        <v>2023</v>
      </c>
      <c r="E187" s="4" t="str">
        <f>TEXT(G187,"dddd")</f>
        <v>Thursday</v>
      </c>
      <c r="F187" s="4" t="str">
        <f>TEXT(G187,"mmm")</f>
        <v>Oct</v>
      </c>
      <c r="G187" s="3">
        <v>45225</v>
      </c>
      <c r="H187" s="4" t="s">
        <v>220</v>
      </c>
      <c r="I187" s="4" t="s">
        <v>29</v>
      </c>
      <c r="J187" s="4" t="str" cm="1">
        <f t="array" ref="J187">_xlfn.IFS(K187&lt;30,"Young Adult",K187&lt;=50,"Adult",K187&gt;50,"Senior")</f>
        <v>Senior</v>
      </c>
      <c r="K187" s="4">
        <v>57</v>
      </c>
      <c r="L187" s="4" t="s">
        <v>7</v>
      </c>
      <c r="M187" s="4">
        <v>1</v>
      </c>
      <c r="N187" s="19">
        <v>50</v>
      </c>
      <c r="O187" s="15">
        <f>M187 * N187</f>
        <v>50</v>
      </c>
      <c r="P187" s="15">
        <f>O187*$S$3</f>
        <v>0.75</v>
      </c>
      <c r="Q187" s="15">
        <f>O187*$S$4</f>
        <v>1</v>
      </c>
    </row>
    <row r="188" spans="1:17">
      <c r="A188" s="2">
        <v>126</v>
      </c>
      <c r="B188" s="4">
        <f>DAY(G188)</f>
        <v>26</v>
      </c>
      <c r="C188" s="4">
        <f>MONTH(G188)</f>
        <v>10</v>
      </c>
      <c r="D188" s="4">
        <f>YEAR(G188)</f>
        <v>2023</v>
      </c>
      <c r="E188" s="4" t="str">
        <f>TEXT(G188,"dddd")</f>
        <v>Thursday</v>
      </c>
      <c r="F188" s="4" t="str">
        <f>TEXT(G188,"mmm")</f>
        <v>Oct</v>
      </c>
      <c r="G188" s="3">
        <v>45225</v>
      </c>
      <c r="H188" s="4" t="s">
        <v>221</v>
      </c>
      <c r="I188" s="4" t="s">
        <v>29</v>
      </c>
      <c r="J188" s="4" t="str" cm="1">
        <f t="array" ref="J188">_xlfn.IFS(K188&lt;30,"Young Adult",K188&lt;=50,"Adult",K188&gt;50,"Senior")</f>
        <v>Young Adult</v>
      </c>
      <c r="K188" s="4">
        <v>28</v>
      </c>
      <c r="L188" s="4" t="s">
        <v>8</v>
      </c>
      <c r="M188" s="4">
        <v>3</v>
      </c>
      <c r="N188" s="19">
        <v>30</v>
      </c>
      <c r="O188" s="15">
        <f>M188 * N188</f>
        <v>90</v>
      </c>
      <c r="P188" s="15">
        <f>O188*$S$3</f>
        <v>1.3499999999999999</v>
      </c>
      <c r="Q188" s="15">
        <f>O188*$S$4</f>
        <v>1.8</v>
      </c>
    </row>
    <row r="189" spans="1:17">
      <c r="A189" s="2">
        <v>503</v>
      </c>
      <c r="B189" s="4">
        <f>DAY(G189)</f>
        <v>25</v>
      </c>
      <c r="C189" s="4">
        <f>MONTH(G189)</f>
        <v>10</v>
      </c>
      <c r="D189" s="4">
        <f>YEAR(G189)</f>
        <v>2023</v>
      </c>
      <c r="E189" s="4" t="str">
        <f>TEXT(G189,"dddd")</f>
        <v>Wednesday</v>
      </c>
      <c r="F189" s="4" t="str">
        <f>TEXT(G189,"mmm")</f>
        <v>Oct</v>
      </c>
      <c r="G189" s="3">
        <v>45224</v>
      </c>
      <c r="H189" s="4" t="s">
        <v>222</v>
      </c>
      <c r="I189" s="4" t="s">
        <v>24</v>
      </c>
      <c r="J189" s="4" t="str" cm="1">
        <f t="array" ref="J189">_xlfn.IFS(K189&lt;30,"Young Adult",K189&lt;=50,"Adult",K189&gt;50,"Senior")</f>
        <v>Adult</v>
      </c>
      <c r="K189" s="4">
        <v>45</v>
      </c>
      <c r="L189" s="4" t="s">
        <v>7</v>
      </c>
      <c r="M189" s="4">
        <v>4</v>
      </c>
      <c r="N189" s="19">
        <v>500</v>
      </c>
      <c r="O189" s="15">
        <f>M189 * N189</f>
        <v>2000</v>
      </c>
      <c r="P189" s="15">
        <f>O189*$S$3</f>
        <v>30</v>
      </c>
      <c r="Q189" s="15">
        <f>O189*$S$4</f>
        <v>40</v>
      </c>
    </row>
    <row r="190" spans="1:17">
      <c r="A190" s="2">
        <v>869</v>
      </c>
      <c r="B190" s="4">
        <f>DAY(G190)</f>
        <v>25</v>
      </c>
      <c r="C190" s="4">
        <f>MONTH(G190)</f>
        <v>10</v>
      </c>
      <c r="D190" s="4">
        <f>YEAR(G190)</f>
        <v>2023</v>
      </c>
      <c r="E190" s="4" t="str">
        <f>TEXT(G190,"dddd")</f>
        <v>Wednesday</v>
      </c>
      <c r="F190" s="4" t="str">
        <f>TEXT(G190,"mmm")</f>
        <v>Oct</v>
      </c>
      <c r="G190" s="3">
        <v>45224</v>
      </c>
      <c r="H190" s="4" t="s">
        <v>223</v>
      </c>
      <c r="I190" s="4" t="s">
        <v>24</v>
      </c>
      <c r="J190" s="4" t="str" cm="1">
        <f t="array" ref="J190">_xlfn.IFS(K190&lt;30,"Young Adult",K190&lt;=50,"Adult",K190&gt;50,"Senior")</f>
        <v>Adult</v>
      </c>
      <c r="K190" s="4">
        <v>37</v>
      </c>
      <c r="L190" s="4" t="s">
        <v>7</v>
      </c>
      <c r="M190" s="4">
        <v>3</v>
      </c>
      <c r="N190" s="19">
        <v>500</v>
      </c>
      <c r="O190" s="15">
        <f>M190 * N190</f>
        <v>1500</v>
      </c>
      <c r="P190" s="15">
        <f>O190*$S$3</f>
        <v>22.5</v>
      </c>
      <c r="Q190" s="15">
        <f>O190*$S$4</f>
        <v>30</v>
      </c>
    </row>
    <row r="191" spans="1:17">
      <c r="A191" s="2">
        <v>318</v>
      </c>
      <c r="B191" s="4">
        <f>DAY(G191)</f>
        <v>24</v>
      </c>
      <c r="C191" s="4">
        <f>MONTH(G191)</f>
        <v>10</v>
      </c>
      <c r="D191" s="4">
        <f>YEAR(G191)</f>
        <v>2023</v>
      </c>
      <c r="E191" s="4" t="str">
        <f>TEXT(G191,"dddd")</f>
        <v>Tuesday</v>
      </c>
      <c r="F191" s="4" t="str">
        <f>TEXT(G191,"mmm")</f>
        <v>Oct</v>
      </c>
      <c r="G191" s="3">
        <v>45223</v>
      </c>
      <c r="H191" s="4" t="s">
        <v>224</v>
      </c>
      <c r="I191" s="4" t="s">
        <v>24</v>
      </c>
      <c r="J191" s="4" t="str" cm="1">
        <f t="array" ref="J191">_xlfn.IFS(K191&lt;30,"Young Adult",K191&lt;=50,"Adult",K191&gt;50,"Senior")</f>
        <v>Senior</v>
      </c>
      <c r="K191" s="4">
        <v>61</v>
      </c>
      <c r="L191" s="4" t="s">
        <v>8</v>
      </c>
      <c r="M191" s="4">
        <v>1</v>
      </c>
      <c r="N191" s="19">
        <v>25</v>
      </c>
      <c r="O191" s="15">
        <f>M191 * N191</f>
        <v>25</v>
      </c>
      <c r="P191" s="15">
        <f>O191*$S$3</f>
        <v>0.375</v>
      </c>
      <c r="Q191" s="15">
        <f>O191*$S$4</f>
        <v>0.5</v>
      </c>
    </row>
    <row r="192" spans="1:17">
      <c r="A192" s="2">
        <v>564</v>
      </c>
      <c r="B192" s="4">
        <f>DAY(G192)</f>
        <v>24</v>
      </c>
      <c r="C192" s="4">
        <f>MONTH(G192)</f>
        <v>10</v>
      </c>
      <c r="D192" s="4">
        <f>YEAR(G192)</f>
        <v>2023</v>
      </c>
      <c r="E192" s="4" t="str">
        <f>TEXT(G192,"dddd")</f>
        <v>Tuesday</v>
      </c>
      <c r="F192" s="4" t="str">
        <f>TEXT(G192,"mmm")</f>
        <v>Oct</v>
      </c>
      <c r="G192" s="3">
        <v>45223</v>
      </c>
      <c r="H192" s="4" t="s">
        <v>225</v>
      </c>
      <c r="I192" s="4" t="s">
        <v>24</v>
      </c>
      <c r="J192" s="4" t="str" cm="1">
        <f t="array" ref="J192">_xlfn.IFS(K192&lt;30,"Young Adult",K192&lt;=50,"Adult",K192&gt;50,"Senior")</f>
        <v>Adult</v>
      </c>
      <c r="K192" s="4">
        <v>50</v>
      </c>
      <c r="L192" s="4" t="s">
        <v>9</v>
      </c>
      <c r="M192" s="4">
        <v>2</v>
      </c>
      <c r="N192" s="19">
        <v>50</v>
      </c>
      <c r="O192" s="15">
        <f>M192 * N192</f>
        <v>100</v>
      </c>
      <c r="P192" s="15">
        <f>O192*$S$3</f>
        <v>1.5</v>
      </c>
      <c r="Q192" s="15">
        <f>O192*$S$4</f>
        <v>2</v>
      </c>
    </row>
    <row r="193" spans="1:17">
      <c r="A193" s="2">
        <v>342</v>
      </c>
      <c r="B193" s="4">
        <f>DAY(G193)</f>
        <v>24</v>
      </c>
      <c r="C193" s="4">
        <f>MONTH(G193)</f>
        <v>10</v>
      </c>
      <c r="D193" s="4">
        <f>YEAR(G193)</f>
        <v>2023</v>
      </c>
      <c r="E193" s="4" t="str">
        <f>TEXT(G193,"dddd")</f>
        <v>Tuesday</v>
      </c>
      <c r="F193" s="4" t="str">
        <f>TEXT(G193,"mmm")</f>
        <v>Oct</v>
      </c>
      <c r="G193" s="3">
        <v>45223</v>
      </c>
      <c r="H193" s="4" t="s">
        <v>226</v>
      </c>
      <c r="I193" s="4" t="s">
        <v>29</v>
      </c>
      <c r="J193" s="4" t="str" cm="1">
        <f t="array" ref="J193">_xlfn.IFS(K193&lt;30,"Young Adult",K193&lt;=50,"Adult",K193&gt;50,"Senior")</f>
        <v>Adult</v>
      </c>
      <c r="K193" s="4">
        <v>43</v>
      </c>
      <c r="L193" s="4" t="s">
        <v>8</v>
      </c>
      <c r="M193" s="4">
        <v>4</v>
      </c>
      <c r="N193" s="19">
        <v>500</v>
      </c>
      <c r="O193" s="15">
        <f>M193 * N193</f>
        <v>2000</v>
      </c>
      <c r="P193" s="15">
        <f>O193*$S$3</f>
        <v>30</v>
      </c>
      <c r="Q193" s="15">
        <f>O193*$S$4</f>
        <v>40</v>
      </c>
    </row>
    <row r="194" spans="1:17">
      <c r="A194" s="2">
        <v>767</v>
      </c>
      <c r="B194" s="4">
        <f>DAY(G194)</f>
        <v>24</v>
      </c>
      <c r="C194" s="4">
        <f>MONTH(G194)</f>
        <v>10</v>
      </c>
      <c r="D194" s="4">
        <f>YEAR(G194)</f>
        <v>2023</v>
      </c>
      <c r="E194" s="4" t="str">
        <f>TEXT(G194,"dddd")</f>
        <v>Tuesday</v>
      </c>
      <c r="F194" s="4" t="str">
        <f>TEXT(G194,"mmm")</f>
        <v>Oct</v>
      </c>
      <c r="G194" s="3">
        <v>45223</v>
      </c>
      <c r="H194" s="4" t="s">
        <v>227</v>
      </c>
      <c r="I194" s="4" t="s">
        <v>24</v>
      </c>
      <c r="J194" s="4" t="str" cm="1">
        <f t="array" ref="J194">_xlfn.IFS(K194&lt;30,"Young Adult",K194&lt;=50,"Adult",K194&gt;50,"Senior")</f>
        <v>Adult</v>
      </c>
      <c r="K194" s="4">
        <v>39</v>
      </c>
      <c r="L194" s="4" t="s">
        <v>7</v>
      </c>
      <c r="M194" s="4">
        <v>3</v>
      </c>
      <c r="N194" s="19">
        <v>25</v>
      </c>
      <c r="O194" s="15">
        <f>M194 * N194</f>
        <v>75</v>
      </c>
      <c r="P194" s="15">
        <f>O194*$S$3</f>
        <v>1.125</v>
      </c>
      <c r="Q194" s="15">
        <f>O194*$S$4</f>
        <v>1.5</v>
      </c>
    </row>
    <row r="195" spans="1:17">
      <c r="A195" s="2">
        <v>937</v>
      </c>
      <c r="B195" s="4">
        <f>DAY(G195)</f>
        <v>23</v>
      </c>
      <c r="C195" s="4">
        <f>MONTH(G195)</f>
        <v>10</v>
      </c>
      <c r="D195" s="4">
        <f>YEAR(G195)</f>
        <v>2023</v>
      </c>
      <c r="E195" s="4" t="str">
        <f>TEXT(G195,"dddd")</f>
        <v>Monday</v>
      </c>
      <c r="F195" s="4" t="str">
        <f>TEXT(G195,"mmm")</f>
        <v>Oct</v>
      </c>
      <c r="G195" s="3">
        <v>45222</v>
      </c>
      <c r="H195" s="4" t="s">
        <v>228</v>
      </c>
      <c r="I195" s="4" t="s">
        <v>29</v>
      </c>
      <c r="J195" s="4" t="str" cm="1">
        <f t="array" ref="J195">_xlfn.IFS(K195&lt;30,"Young Adult",K195&lt;=50,"Adult",K195&gt;50,"Senior")</f>
        <v>Senior</v>
      </c>
      <c r="K195" s="4">
        <v>62</v>
      </c>
      <c r="L195" s="4" t="s">
        <v>7</v>
      </c>
      <c r="M195" s="4">
        <v>1</v>
      </c>
      <c r="N195" s="19">
        <v>500</v>
      </c>
      <c r="O195" s="15">
        <f>M195 * N195</f>
        <v>500</v>
      </c>
      <c r="P195" s="15">
        <f>O195*$S$3</f>
        <v>7.5</v>
      </c>
      <c r="Q195" s="15">
        <f>O195*$S$4</f>
        <v>10</v>
      </c>
    </row>
    <row r="196" spans="1:17">
      <c r="A196" s="2">
        <v>250</v>
      </c>
      <c r="B196" s="4">
        <f>DAY(G196)</f>
        <v>23</v>
      </c>
      <c r="C196" s="4">
        <f>MONTH(G196)</f>
        <v>10</v>
      </c>
      <c r="D196" s="4">
        <f>YEAR(G196)</f>
        <v>2023</v>
      </c>
      <c r="E196" s="4" t="str">
        <f>TEXT(G196,"dddd")</f>
        <v>Monday</v>
      </c>
      <c r="F196" s="4" t="str">
        <f>TEXT(G196,"mmm")</f>
        <v>Oct</v>
      </c>
      <c r="G196" s="3">
        <v>45222</v>
      </c>
      <c r="H196" s="4" t="s">
        <v>229</v>
      </c>
      <c r="I196" s="4" t="s">
        <v>24</v>
      </c>
      <c r="J196" s="4" t="str" cm="1">
        <f t="array" ref="J196">_xlfn.IFS(K196&lt;30,"Young Adult",K196&lt;=50,"Adult",K196&gt;50,"Senior")</f>
        <v>Adult</v>
      </c>
      <c r="K196" s="4">
        <v>48</v>
      </c>
      <c r="L196" s="4" t="s">
        <v>9</v>
      </c>
      <c r="M196" s="4">
        <v>1</v>
      </c>
      <c r="N196" s="19">
        <v>50</v>
      </c>
      <c r="O196" s="15">
        <f>M196 * N196</f>
        <v>50</v>
      </c>
      <c r="P196" s="15">
        <f>O196*$S$3</f>
        <v>0.75</v>
      </c>
      <c r="Q196" s="15">
        <f>O196*$S$4</f>
        <v>1</v>
      </c>
    </row>
    <row r="197" spans="1:17">
      <c r="A197" s="2">
        <v>60</v>
      </c>
      <c r="B197" s="4">
        <f>DAY(G197)</f>
        <v>23</v>
      </c>
      <c r="C197" s="4">
        <f>MONTH(G197)</f>
        <v>10</v>
      </c>
      <c r="D197" s="4">
        <f>YEAR(G197)</f>
        <v>2023</v>
      </c>
      <c r="E197" s="4" t="str">
        <f>TEXT(G197,"dddd")</f>
        <v>Monday</v>
      </c>
      <c r="F197" s="4" t="str">
        <f>TEXT(G197,"mmm")</f>
        <v>Oct</v>
      </c>
      <c r="G197" s="3">
        <v>45222</v>
      </c>
      <c r="H197" s="4" t="s">
        <v>230</v>
      </c>
      <c r="I197" s="4" t="s">
        <v>24</v>
      </c>
      <c r="J197" s="4" t="str" cm="1">
        <f t="array" ref="J197">_xlfn.IFS(K197&lt;30,"Young Adult",K197&lt;=50,"Adult",K197&gt;50,"Senior")</f>
        <v>Adult</v>
      </c>
      <c r="K197" s="4">
        <v>30</v>
      </c>
      <c r="L197" s="4" t="s">
        <v>7</v>
      </c>
      <c r="M197" s="4">
        <v>3</v>
      </c>
      <c r="N197" s="19">
        <v>50</v>
      </c>
      <c r="O197" s="15">
        <f>M197 * N197</f>
        <v>150</v>
      </c>
      <c r="P197" s="15">
        <f>O197*$S$3</f>
        <v>2.25</v>
      </c>
      <c r="Q197" s="15">
        <f>O197*$S$4</f>
        <v>3</v>
      </c>
    </row>
    <row r="198" spans="1:17">
      <c r="A198" s="2">
        <v>516</v>
      </c>
      <c r="B198" s="4">
        <f>DAY(G198)</f>
        <v>23</v>
      </c>
      <c r="C198" s="4">
        <f>MONTH(G198)</f>
        <v>10</v>
      </c>
      <c r="D198" s="4">
        <f>YEAR(G198)</f>
        <v>2023</v>
      </c>
      <c r="E198" s="4" t="str">
        <f>TEXT(G198,"dddd")</f>
        <v>Monday</v>
      </c>
      <c r="F198" s="4" t="str">
        <f>TEXT(G198,"mmm")</f>
        <v>Oct</v>
      </c>
      <c r="G198" s="3">
        <v>45222</v>
      </c>
      <c r="H198" s="4" t="s">
        <v>231</v>
      </c>
      <c r="I198" s="4" t="s">
        <v>24</v>
      </c>
      <c r="J198" s="4" t="str" cm="1">
        <f t="array" ref="J198">_xlfn.IFS(K198&lt;30,"Young Adult",K198&lt;=50,"Adult",K198&gt;50,"Senior")</f>
        <v>Adult</v>
      </c>
      <c r="K198" s="4">
        <v>30</v>
      </c>
      <c r="L198" s="4" t="s">
        <v>7</v>
      </c>
      <c r="M198" s="4">
        <v>4</v>
      </c>
      <c r="N198" s="19">
        <v>25</v>
      </c>
      <c r="O198" s="15">
        <f>M198 * N198</f>
        <v>100</v>
      </c>
      <c r="P198" s="15">
        <f>O198*$S$3</f>
        <v>1.5</v>
      </c>
      <c r="Q198" s="15">
        <f>O198*$S$4</f>
        <v>2</v>
      </c>
    </row>
    <row r="199" spans="1:17">
      <c r="A199" s="2">
        <v>600</v>
      </c>
      <c r="B199" s="4">
        <f>DAY(G199)</f>
        <v>22</v>
      </c>
      <c r="C199" s="4">
        <f>MONTH(G199)</f>
        <v>10</v>
      </c>
      <c r="D199" s="4">
        <f>YEAR(G199)</f>
        <v>2023</v>
      </c>
      <c r="E199" s="4" t="str">
        <f>TEXT(G199,"dddd")</f>
        <v>Sunday</v>
      </c>
      <c r="F199" s="4" t="str">
        <f>TEXT(G199,"mmm")</f>
        <v>Oct</v>
      </c>
      <c r="G199" s="3">
        <v>45221</v>
      </c>
      <c r="H199" s="4" t="s">
        <v>232</v>
      </c>
      <c r="I199" s="4" t="s">
        <v>29</v>
      </c>
      <c r="J199" s="4" t="str" cm="1">
        <f t="array" ref="J199">_xlfn.IFS(K199&lt;30,"Young Adult",K199&lt;=50,"Adult",K199&gt;50,"Senior")</f>
        <v>Senior</v>
      </c>
      <c r="K199" s="4">
        <v>59</v>
      </c>
      <c r="L199" s="4" t="s">
        <v>7</v>
      </c>
      <c r="M199" s="4">
        <v>2</v>
      </c>
      <c r="N199" s="19">
        <v>500</v>
      </c>
      <c r="O199" s="15">
        <f>M199 * N199</f>
        <v>1000</v>
      </c>
      <c r="P199" s="15">
        <f>O199*$S$3</f>
        <v>15</v>
      </c>
      <c r="Q199" s="15">
        <f>O199*$S$4</f>
        <v>20</v>
      </c>
    </row>
    <row r="200" spans="1:17">
      <c r="A200" s="2">
        <v>680</v>
      </c>
      <c r="B200" s="4">
        <f>DAY(G200)</f>
        <v>22</v>
      </c>
      <c r="C200" s="4">
        <f>MONTH(G200)</f>
        <v>10</v>
      </c>
      <c r="D200" s="4">
        <f>YEAR(G200)</f>
        <v>2023</v>
      </c>
      <c r="E200" s="4" t="str">
        <f>TEXT(G200,"dddd")</f>
        <v>Sunday</v>
      </c>
      <c r="F200" s="4" t="str">
        <f>TEXT(G200,"mmm")</f>
        <v>Oct</v>
      </c>
      <c r="G200" s="3">
        <v>45221</v>
      </c>
      <c r="H200" s="4" t="s">
        <v>233</v>
      </c>
      <c r="I200" s="4" t="s">
        <v>29</v>
      </c>
      <c r="J200" s="4" t="str" cm="1">
        <f t="array" ref="J200">_xlfn.IFS(K200&lt;30,"Young Adult",K200&lt;=50,"Adult",K200&gt;50,"Senior")</f>
        <v>Senior</v>
      </c>
      <c r="K200" s="4">
        <v>53</v>
      </c>
      <c r="L200" s="4" t="s">
        <v>8</v>
      </c>
      <c r="M200" s="4">
        <v>3</v>
      </c>
      <c r="N200" s="19">
        <v>300</v>
      </c>
      <c r="O200" s="15">
        <f>M200 * N200</f>
        <v>900</v>
      </c>
      <c r="P200" s="15">
        <f>O200*$S$3</f>
        <v>13.5</v>
      </c>
      <c r="Q200" s="15">
        <f>O200*$S$4</f>
        <v>18</v>
      </c>
    </row>
    <row r="201" spans="1:17">
      <c r="A201" s="2">
        <v>770</v>
      </c>
      <c r="B201" s="4">
        <f>DAY(G201)</f>
        <v>22</v>
      </c>
      <c r="C201" s="4">
        <f>MONTH(G201)</f>
        <v>10</v>
      </c>
      <c r="D201" s="4">
        <f>YEAR(G201)</f>
        <v>2023</v>
      </c>
      <c r="E201" s="4" t="str">
        <f>TEXT(G201,"dddd")</f>
        <v>Sunday</v>
      </c>
      <c r="F201" s="4" t="str">
        <f>TEXT(G201,"mmm")</f>
        <v>Oct</v>
      </c>
      <c r="G201" s="3">
        <v>45221</v>
      </c>
      <c r="H201" s="4" t="s">
        <v>234</v>
      </c>
      <c r="I201" s="4" t="s">
        <v>24</v>
      </c>
      <c r="J201" s="4" t="str" cm="1">
        <f t="array" ref="J201">_xlfn.IFS(K201&lt;30,"Young Adult",K201&lt;=50,"Adult",K201&gt;50,"Senior")</f>
        <v>Adult</v>
      </c>
      <c r="K201" s="4">
        <v>32</v>
      </c>
      <c r="L201" s="4" t="s">
        <v>8</v>
      </c>
      <c r="M201" s="4">
        <v>1</v>
      </c>
      <c r="N201" s="19">
        <v>50</v>
      </c>
      <c r="O201" s="15">
        <f>M201 * N201</f>
        <v>50</v>
      </c>
      <c r="P201" s="15">
        <f>O201*$S$3</f>
        <v>0.75</v>
      </c>
      <c r="Q201" s="15">
        <f>O201*$S$4</f>
        <v>1</v>
      </c>
    </row>
    <row r="202" spans="1:17">
      <c r="A202" s="2">
        <v>922</v>
      </c>
      <c r="B202" s="4">
        <f>DAY(G202)</f>
        <v>21</v>
      </c>
      <c r="C202" s="4">
        <f>MONTH(G202)</f>
        <v>10</v>
      </c>
      <c r="D202" s="4">
        <f>YEAR(G202)</f>
        <v>2023</v>
      </c>
      <c r="E202" s="4" t="str">
        <f>TEXT(G202,"dddd")</f>
        <v>Saturday</v>
      </c>
      <c r="F202" s="4" t="str">
        <f>TEXT(G202,"mmm")</f>
        <v>Oct</v>
      </c>
      <c r="G202" s="3">
        <v>45220</v>
      </c>
      <c r="H202" s="4" t="s">
        <v>235</v>
      </c>
      <c r="I202" s="4" t="s">
        <v>24</v>
      </c>
      <c r="J202" s="4" t="str" cm="1">
        <f t="array" ref="J202">_xlfn.IFS(K202&lt;30,"Young Adult",K202&lt;=50,"Adult",K202&gt;50,"Senior")</f>
        <v>Adult</v>
      </c>
      <c r="K202" s="4">
        <v>41</v>
      </c>
      <c r="L202" s="4" t="s">
        <v>9</v>
      </c>
      <c r="M202" s="4">
        <v>1</v>
      </c>
      <c r="N202" s="19">
        <v>50</v>
      </c>
      <c r="O202" s="15">
        <f>M202 * N202</f>
        <v>50</v>
      </c>
      <c r="P202" s="15">
        <f>O202*$S$3</f>
        <v>0.75</v>
      </c>
      <c r="Q202" s="15">
        <f>O202*$S$4</f>
        <v>1</v>
      </c>
    </row>
    <row r="203" spans="1:17">
      <c r="A203" s="2">
        <v>249</v>
      </c>
      <c r="B203" s="4">
        <f>DAY(G203)</f>
        <v>20</v>
      </c>
      <c r="C203" s="4">
        <f>MONTH(G203)</f>
        <v>10</v>
      </c>
      <c r="D203" s="4">
        <f>YEAR(G203)</f>
        <v>2023</v>
      </c>
      <c r="E203" s="4" t="str">
        <f>TEXT(G203,"dddd")</f>
        <v>Friday</v>
      </c>
      <c r="F203" s="4" t="str">
        <f>TEXT(G203,"mmm")</f>
        <v>Oct</v>
      </c>
      <c r="G203" s="3">
        <v>45219</v>
      </c>
      <c r="H203" s="4" t="s">
        <v>236</v>
      </c>
      <c r="I203" s="4" t="s">
        <v>24</v>
      </c>
      <c r="J203" s="4" t="str" cm="1">
        <f t="array" ref="J203">_xlfn.IFS(K203&lt;30,"Young Adult",K203&lt;=50,"Adult",K203&gt;50,"Senior")</f>
        <v>Young Adult</v>
      </c>
      <c r="K203" s="4">
        <v>20</v>
      </c>
      <c r="L203" s="4" t="s">
        <v>8</v>
      </c>
      <c r="M203" s="4">
        <v>1</v>
      </c>
      <c r="N203" s="19">
        <v>50</v>
      </c>
      <c r="O203" s="15">
        <f>M203 * N203</f>
        <v>50</v>
      </c>
      <c r="P203" s="15">
        <f>O203*$S$3</f>
        <v>0.75</v>
      </c>
      <c r="Q203" s="15">
        <f>O203*$S$4</f>
        <v>1</v>
      </c>
    </row>
    <row r="204" spans="1:17">
      <c r="A204" s="2">
        <v>826</v>
      </c>
      <c r="B204" s="4">
        <f>DAY(G204)</f>
        <v>19</v>
      </c>
      <c r="C204" s="4">
        <f>MONTH(G204)</f>
        <v>10</v>
      </c>
      <c r="D204" s="4">
        <f>YEAR(G204)</f>
        <v>2023</v>
      </c>
      <c r="E204" s="4" t="str">
        <f>TEXT(G204,"dddd")</f>
        <v>Thursday</v>
      </c>
      <c r="F204" s="4" t="str">
        <f>TEXT(G204,"mmm")</f>
        <v>Oct</v>
      </c>
      <c r="G204" s="3">
        <v>45218</v>
      </c>
      <c r="H204" s="4" t="s">
        <v>237</v>
      </c>
      <c r="I204" s="4" t="s">
        <v>29</v>
      </c>
      <c r="J204" s="4" t="str" cm="1">
        <f t="array" ref="J204">_xlfn.IFS(K204&lt;30,"Young Adult",K204&lt;=50,"Adult",K204&gt;50,"Senior")</f>
        <v>Adult</v>
      </c>
      <c r="K204" s="4">
        <v>46</v>
      </c>
      <c r="L204" s="4" t="s">
        <v>8</v>
      </c>
      <c r="M204" s="4">
        <v>1</v>
      </c>
      <c r="N204" s="19">
        <v>300</v>
      </c>
      <c r="O204" s="15">
        <f>M204 * N204</f>
        <v>300</v>
      </c>
      <c r="P204" s="15">
        <f>O204*$S$3</f>
        <v>4.5</v>
      </c>
      <c r="Q204" s="15">
        <f>O204*$S$4</f>
        <v>6</v>
      </c>
    </row>
    <row r="205" spans="1:17">
      <c r="A205" s="2">
        <v>962</v>
      </c>
      <c r="B205" s="4">
        <f>DAY(G205)</f>
        <v>19</v>
      </c>
      <c r="C205" s="4">
        <f>MONTH(G205)</f>
        <v>10</v>
      </c>
      <c r="D205" s="4">
        <f>YEAR(G205)</f>
        <v>2023</v>
      </c>
      <c r="E205" s="4" t="str">
        <f>TEXT(G205,"dddd")</f>
        <v>Thursday</v>
      </c>
      <c r="F205" s="4" t="str">
        <f>TEXT(G205,"mmm")</f>
        <v>Oct</v>
      </c>
      <c r="G205" s="3">
        <v>45218</v>
      </c>
      <c r="H205" s="4" t="s">
        <v>238</v>
      </c>
      <c r="I205" s="4" t="s">
        <v>24</v>
      </c>
      <c r="J205" s="4" t="str" cm="1">
        <f t="array" ref="J205">_xlfn.IFS(K205&lt;30,"Young Adult",K205&lt;=50,"Adult",K205&gt;50,"Senior")</f>
        <v>Adult</v>
      </c>
      <c r="K205" s="4">
        <v>44</v>
      </c>
      <c r="L205" s="4" t="s">
        <v>8</v>
      </c>
      <c r="M205" s="4">
        <v>2</v>
      </c>
      <c r="N205" s="19">
        <v>30</v>
      </c>
      <c r="O205" s="15">
        <f>M205 * N205</f>
        <v>60</v>
      </c>
      <c r="P205" s="15">
        <f>O205*$S$3</f>
        <v>0.89999999999999991</v>
      </c>
      <c r="Q205" s="15">
        <f>O205*$S$4</f>
        <v>1.2</v>
      </c>
    </row>
    <row r="206" spans="1:17">
      <c r="A206" s="2">
        <v>340</v>
      </c>
      <c r="B206" s="4">
        <f>DAY(G206)</f>
        <v>19</v>
      </c>
      <c r="C206" s="4">
        <f>MONTH(G206)</f>
        <v>10</v>
      </c>
      <c r="D206" s="4">
        <f>YEAR(G206)</f>
        <v>2023</v>
      </c>
      <c r="E206" s="4" t="str">
        <f>TEXT(G206,"dddd")</f>
        <v>Thursday</v>
      </c>
      <c r="F206" s="4" t="str">
        <f>TEXT(G206,"mmm")</f>
        <v>Oct</v>
      </c>
      <c r="G206" s="3">
        <v>45218</v>
      </c>
      <c r="H206" s="4" t="s">
        <v>239</v>
      </c>
      <c r="I206" s="4" t="s">
        <v>29</v>
      </c>
      <c r="J206" s="4" t="str" cm="1">
        <f t="array" ref="J206">_xlfn.IFS(K206&lt;30,"Young Adult",K206&lt;=50,"Adult",K206&gt;50,"Senior")</f>
        <v>Adult</v>
      </c>
      <c r="K206" s="4">
        <v>36</v>
      </c>
      <c r="L206" s="4" t="s">
        <v>8</v>
      </c>
      <c r="M206" s="4">
        <v>4</v>
      </c>
      <c r="N206" s="19">
        <v>300</v>
      </c>
      <c r="O206" s="15">
        <f>M206 * N206</f>
        <v>1200</v>
      </c>
      <c r="P206" s="15">
        <f>O206*$S$3</f>
        <v>18</v>
      </c>
      <c r="Q206" s="15">
        <f>O206*$S$4</f>
        <v>24</v>
      </c>
    </row>
    <row r="207" spans="1:17">
      <c r="A207" s="2">
        <v>555</v>
      </c>
      <c r="B207" s="4">
        <f>DAY(G207)</f>
        <v>19</v>
      </c>
      <c r="C207" s="4">
        <f>MONTH(G207)</f>
        <v>10</v>
      </c>
      <c r="D207" s="4">
        <f>YEAR(G207)</f>
        <v>2023</v>
      </c>
      <c r="E207" s="4" t="str">
        <f>TEXT(G207,"dddd")</f>
        <v>Thursday</v>
      </c>
      <c r="F207" s="4" t="str">
        <f>TEXT(G207,"mmm")</f>
        <v>Oct</v>
      </c>
      <c r="G207" s="3">
        <v>45218</v>
      </c>
      <c r="H207" s="4" t="s">
        <v>240</v>
      </c>
      <c r="I207" s="4" t="s">
        <v>24</v>
      </c>
      <c r="J207" s="4" t="str" cm="1">
        <f t="array" ref="J207">_xlfn.IFS(K207&lt;30,"Young Adult",K207&lt;=50,"Adult",K207&gt;50,"Senior")</f>
        <v>Young Adult</v>
      </c>
      <c r="K207" s="4">
        <v>25</v>
      </c>
      <c r="L207" s="4" t="s">
        <v>7</v>
      </c>
      <c r="M207" s="4">
        <v>1</v>
      </c>
      <c r="N207" s="19">
        <v>300</v>
      </c>
      <c r="O207" s="15">
        <f>M207 * N207</f>
        <v>300</v>
      </c>
      <c r="P207" s="15">
        <f>O207*$S$3</f>
        <v>4.5</v>
      </c>
      <c r="Q207" s="15">
        <f>O207*$S$4</f>
        <v>6</v>
      </c>
    </row>
    <row r="208" spans="1:17">
      <c r="A208" s="2">
        <v>191</v>
      </c>
      <c r="B208" s="4">
        <f>DAY(G208)</f>
        <v>18</v>
      </c>
      <c r="C208" s="4">
        <f>MONTH(G208)</f>
        <v>10</v>
      </c>
      <c r="D208" s="4">
        <f>YEAR(G208)</f>
        <v>2023</v>
      </c>
      <c r="E208" s="4" t="str">
        <f>TEXT(G208,"dddd")</f>
        <v>Wednesday</v>
      </c>
      <c r="F208" s="4" t="str">
        <f>TEXT(G208,"mmm")</f>
        <v>Oct</v>
      </c>
      <c r="G208" s="3">
        <v>45217</v>
      </c>
      <c r="H208" s="4" t="s">
        <v>241</v>
      </c>
      <c r="I208" s="4" t="s">
        <v>24</v>
      </c>
      <c r="J208" s="4" t="str" cm="1">
        <f t="array" ref="J208">_xlfn.IFS(K208&lt;30,"Young Adult",K208&lt;=50,"Adult",K208&gt;50,"Senior")</f>
        <v>Senior</v>
      </c>
      <c r="K208" s="4">
        <v>64</v>
      </c>
      <c r="L208" s="4" t="s">
        <v>7</v>
      </c>
      <c r="M208" s="4">
        <v>1</v>
      </c>
      <c r="N208" s="19">
        <v>25</v>
      </c>
      <c r="O208" s="15">
        <f>M208 * N208</f>
        <v>25</v>
      </c>
      <c r="P208" s="15">
        <f>O208*$S$3</f>
        <v>0.375</v>
      </c>
      <c r="Q208" s="15">
        <f>O208*$S$4</f>
        <v>0.5</v>
      </c>
    </row>
    <row r="209" spans="1:17">
      <c r="A209" s="2">
        <v>109</v>
      </c>
      <c r="B209" s="4">
        <f>DAY(G209)</f>
        <v>18</v>
      </c>
      <c r="C209" s="4">
        <f>MONTH(G209)</f>
        <v>10</v>
      </c>
      <c r="D209" s="4">
        <f>YEAR(G209)</f>
        <v>2023</v>
      </c>
      <c r="E209" s="4" t="str">
        <f>TEXT(G209,"dddd")</f>
        <v>Wednesday</v>
      </c>
      <c r="F209" s="4" t="str">
        <f>TEXT(G209,"mmm")</f>
        <v>Oct</v>
      </c>
      <c r="G209" s="3">
        <v>45217</v>
      </c>
      <c r="H209" s="4" t="s">
        <v>242</v>
      </c>
      <c r="I209" s="4" t="s">
        <v>29</v>
      </c>
      <c r="J209" s="4" t="str" cm="1">
        <f t="array" ref="J209">_xlfn.IFS(K209&lt;30,"Young Adult",K209&lt;=50,"Adult",K209&gt;50,"Senior")</f>
        <v>Adult</v>
      </c>
      <c r="K209" s="4">
        <v>34</v>
      </c>
      <c r="L209" s="4" t="s">
        <v>9</v>
      </c>
      <c r="M209" s="4">
        <v>4</v>
      </c>
      <c r="N209" s="19">
        <v>500</v>
      </c>
      <c r="O209" s="15">
        <f>M209 * N209</f>
        <v>2000</v>
      </c>
      <c r="P209" s="15">
        <f>O209*$S$3</f>
        <v>30</v>
      </c>
      <c r="Q209" s="15">
        <f>O209*$S$4</f>
        <v>40</v>
      </c>
    </row>
    <row r="210" spans="1:17">
      <c r="A210" s="2">
        <v>786</v>
      </c>
      <c r="B210" s="4">
        <f>DAY(G210)</f>
        <v>17</v>
      </c>
      <c r="C210" s="4">
        <f>MONTH(G210)</f>
        <v>10</v>
      </c>
      <c r="D210" s="4">
        <f>YEAR(G210)</f>
        <v>2023</v>
      </c>
      <c r="E210" s="4" t="str">
        <f>TEXT(G210,"dddd")</f>
        <v>Tuesday</v>
      </c>
      <c r="F210" s="4" t="str">
        <f>TEXT(G210,"mmm")</f>
        <v>Oct</v>
      </c>
      <c r="G210" s="3">
        <v>45216</v>
      </c>
      <c r="H210" s="4" t="s">
        <v>243</v>
      </c>
      <c r="I210" s="4" t="s">
        <v>24</v>
      </c>
      <c r="J210" s="4" t="str" cm="1">
        <f t="array" ref="J210">_xlfn.IFS(K210&lt;30,"Young Adult",K210&lt;=50,"Adult",K210&gt;50,"Senior")</f>
        <v>Adult</v>
      </c>
      <c r="K210" s="4">
        <v>48</v>
      </c>
      <c r="L210" s="4" t="s">
        <v>8</v>
      </c>
      <c r="M210" s="4">
        <v>4</v>
      </c>
      <c r="N210" s="19">
        <v>25</v>
      </c>
      <c r="O210" s="15">
        <f>M210 * N210</f>
        <v>100</v>
      </c>
      <c r="P210" s="15">
        <f>O210*$S$3</f>
        <v>1.5</v>
      </c>
      <c r="Q210" s="15">
        <f>O210*$S$4</f>
        <v>2</v>
      </c>
    </row>
    <row r="211" spans="1:17">
      <c r="A211" s="2">
        <v>350</v>
      </c>
      <c r="B211" s="4">
        <f>DAY(G211)</f>
        <v>17</v>
      </c>
      <c r="C211" s="4">
        <f>MONTH(G211)</f>
        <v>10</v>
      </c>
      <c r="D211" s="4">
        <f>YEAR(G211)</f>
        <v>2023</v>
      </c>
      <c r="E211" s="4" t="str">
        <f>TEXT(G211,"dddd")</f>
        <v>Tuesday</v>
      </c>
      <c r="F211" s="4" t="str">
        <f>TEXT(G211,"mmm")</f>
        <v>Oct</v>
      </c>
      <c r="G211" s="3">
        <v>45216</v>
      </c>
      <c r="H211" s="4" t="s">
        <v>244</v>
      </c>
      <c r="I211" s="4" t="s">
        <v>24</v>
      </c>
      <c r="J211" s="4" t="str" cm="1">
        <f t="array" ref="J211">_xlfn.IFS(K211&lt;30,"Young Adult",K211&lt;=50,"Adult",K211&gt;50,"Senior")</f>
        <v>Young Adult</v>
      </c>
      <c r="K211" s="4">
        <v>25</v>
      </c>
      <c r="L211" s="4" t="s">
        <v>7</v>
      </c>
      <c r="M211" s="4">
        <v>3</v>
      </c>
      <c r="N211" s="19">
        <v>25</v>
      </c>
      <c r="O211" s="15">
        <f>M211 * N211</f>
        <v>75</v>
      </c>
      <c r="P211" s="15">
        <f>O211*$S$3</f>
        <v>1.125</v>
      </c>
      <c r="Q211" s="15">
        <f>O211*$S$4</f>
        <v>1.5</v>
      </c>
    </row>
    <row r="212" spans="1:17">
      <c r="A212" s="2">
        <v>943</v>
      </c>
      <c r="B212" s="4">
        <f>DAY(G212)</f>
        <v>16</v>
      </c>
      <c r="C212" s="4">
        <f>MONTH(G212)</f>
        <v>10</v>
      </c>
      <c r="D212" s="4">
        <f>YEAR(G212)</f>
        <v>2023</v>
      </c>
      <c r="E212" s="4" t="str">
        <f>TEXT(G212,"dddd")</f>
        <v>Monday</v>
      </c>
      <c r="F212" s="4" t="str">
        <f>TEXT(G212,"mmm")</f>
        <v>Oct</v>
      </c>
      <c r="G212" s="3">
        <v>45215</v>
      </c>
      <c r="H212" s="4" t="s">
        <v>245</v>
      </c>
      <c r="I212" s="4" t="s">
        <v>29</v>
      </c>
      <c r="J212" s="4" t="str" cm="1">
        <f t="array" ref="J212">_xlfn.IFS(K212&lt;30,"Young Adult",K212&lt;=50,"Adult",K212&gt;50,"Senior")</f>
        <v>Senior</v>
      </c>
      <c r="K212" s="4">
        <v>57</v>
      </c>
      <c r="L212" s="4" t="s">
        <v>8</v>
      </c>
      <c r="M212" s="4">
        <v>4</v>
      </c>
      <c r="N212" s="19">
        <v>300</v>
      </c>
      <c r="O212" s="15">
        <f>M212 * N212</f>
        <v>1200</v>
      </c>
      <c r="P212" s="15">
        <f>O212*$S$3</f>
        <v>18</v>
      </c>
      <c r="Q212" s="15">
        <f>O212*$S$4</f>
        <v>24</v>
      </c>
    </row>
    <row r="213" spans="1:17">
      <c r="A213" s="2">
        <v>754</v>
      </c>
      <c r="B213" s="4">
        <f>DAY(G213)</f>
        <v>16</v>
      </c>
      <c r="C213" s="4">
        <f>MONTH(G213)</f>
        <v>10</v>
      </c>
      <c r="D213" s="4">
        <f>YEAR(G213)</f>
        <v>2023</v>
      </c>
      <c r="E213" s="4" t="str">
        <f>TEXT(G213,"dddd")</f>
        <v>Monday</v>
      </c>
      <c r="F213" s="4" t="str">
        <f>TEXT(G213,"mmm")</f>
        <v>Oct</v>
      </c>
      <c r="G213" s="3">
        <v>45215</v>
      </c>
      <c r="H213" s="4" t="s">
        <v>246</v>
      </c>
      <c r="I213" s="4" t="s">
        <v>29</v>
      </c>
      <c r="J213" s="4" t="str" cm="1">
        <f t="array" ref="J213">_xlfn.IFS(K213&lt;30,"Young Adult",K213&lt;=50,"Adult",K213&gt;50,"Senior")</f>
        <v>Adult</v>
      </c>
      <c r="K213" s="4">
        <v>43</v>
      </c>
      <c r="L213" s="4" t="s">
        <v>9</v>
      </c>
      <c r="M213" s="4">
        <v>4</v>
      </c>
      <c r="N213" s="19">
        <v>25</v>
      </c>
      <c r="O213" s="15">
        <f>M213 * N213</f>
        <v>100</v>
      </c>
      <c r="P213" s="15">
        <f>O213*$S$3</f>
        <v>1.5</v>
      </c>
      <c r="Q213" s="15">
        <f>O213*$S$4</f>
        <v>2</v>
      </c>
    </row>
    <row r="214" spans="1:17">
      <c r="A214" s="2">
        <v>711</v>
      </c>
      <c r="B214" s="4">
        <f>DAY(G214)</f>
        <v>16</v>
      </c>
      <c r="C214" s="4">
        <f>MONTH(G214)</f>
        <v>10</v>
      </c>
      <c r="D214" s="4">
        <f>YEAR(G214)</f>
        <v>2023</v>
      </c>
      <c r="E214" s="4" t="str">
        <f>TEXT(G214,"dddd")</f>
        <v>Monday</v>
      </c>
      <c r="F214" s="4" t="str">
        <f>TEXT(G214,"mmm")</f>
        <v>Oct</v>
      </c>
      <c r="G214" s="3">
        <v>45215</v>
      </c>
      <c r="H214" s="4" t="s">
        <v>247</v>
      </c>
      <c r="I214" s="4" t="s">
        <v>24</v>
      </c>
      <c r="J214" s="4" t="str" cm="1">
        <f t="array" ref="J214">_xlfn.IFS(K214&lt;30,"Young Adult",K214&lt;=50,"Adult",K214&gt;50,"Senior")</f>
        <v>Young Adult</v>
      </c>
      <c r="K214" s="4">
        <v>26</v>
      </c>
      <c r="L214" s="4" t="s">
        <v>9</v>
      </c>
      <c r="M214" s="4">
        <v>3</v>
      </c>
      <c r="N214" s="19">
        <v>500</v>
      </c>
      <c r="O214" s="15">
        <f>M214 * N214</f>
        <v>1500</v>
      </c>
      <c r="P214" s="15">
        <f>O214*$S$3</f>
        <v>22.5</v>
      </c>
      <c r="Q214" s="15">
        <f>O214*$S$4</f>
        <v>30</v>
      </c>
    </row>
    <row r="215" spans="1:17">
      <c r="A215" s="2">
        <v>370</v>
      </c>
      <c r="B215" s="4">
        <f>DAY(G215)</f>
        <v>16</v>
      </c>
      <c r="C215" s="4">
        <f>MONTH(G215)</f>
        <v>10</v>
      </c>
      <c r="D215" s="4">
        <f>YEAR(G215)</f>
        <v>2023</v>
      </c>
      <c r="E215" s="4" t="str">
        <f>TEXT(G215,"dddd")</f>
        <v>Monday</v>
      </c>
      <c r="F215" s="4" t="str">
        <f>TEXT(G215,"mmm")</f>
        <v>Oct</v>
      </c>
      <c r="G215" s="3">
        <v>45215</v>
      </c>
      <c r="H215" s="4" t="s">
        <v>248</v>
      </c>
      <c r="I215" s="4" t="s">
        <v>24</v>
      </c>
      <c r="J215" s="4" t="str" cm="1">
        <f t="array" ref="J215">_xlfn.IFS(K215&lt;30,"Young Adult",K215&lt;=50,"Adult",K215&gt;50,"Senior")</f>
        <v>Young Adult</v>
      </c>
      <c r="K215" s="4">
        <v>23</v>
      </c>
      <c r="L215" s="4" t="s">
        <v>9</v>
      </c>
      <c r="M215" s="4">
        <v>2</v>
      </c>
      <c r="N215" s="19">
        <v>30</v>
      </c>
      <c r="O215" s="15">
        <f>M215 * N215</f>
        <v>60</v>
      </c>
      <c r="P215" s="15">
        <f>O215*$S$3</f>
        <v>0.89999999999999991</v>
      </c>
      <c r="Q215" s="15">
        <f>O215*$S$4</f>
        <v>1.2</v>
      </c>
    </row>
    <row r="216" spans="1:17">
      <c r="A216" s="2">
        <v>431</v>
      </c>
      <c r="B216" s="4">
        <f>DAY(G216)</f>
        <v>15</v>
      </c>
      <c r="C216" s="4">
        <f>MONTH(G216)</f>
        <v>10</v>
      </c>
      <c r="D216" s="4">
        <f>YEAR(G216)</f>
        <v>2023</v>
      </c>
      <c r="E216" s="4" t="str">
        <f>TEXT(G216,"dddd")</f>
        <v>Sunday</v>
      </c>
      <c r="F216" s="4" t="str">
        <f>TEXT(G216,"mmm")</f>
        <v>Oct</v>
      </c>
      <c r="G216" s="3">
        <v>45214</v>
      </c>
      <c r="H216" s="4" t="s">
        <v>249</v>
      </c>
      <c r="I216" s="4" t="s">
        <v>24</v>
      </c>
      <c r="J216" s="4" t="str" cm="1">
        <f t="array" ref="J216">_xlfn.IFS(K216&lt;30,"Young Adult",K216&lt;=50,"Adult",K216&gt;50,"Senior")</f>
        <v>Senior</v>
      </c>
      <c r="K216" s="4">
        <v>63</v>
      </c>
      <c r="L216" s="4" t="s">
        <v>9</v>
      </c>
      <c r="M216" s="4">
        <v>4</v>
      </c>
      <c r="N216" s="19">
        <v>300</v>
      </c>
      <c r="O216" s="15">
        <f>M216 * N216</f>
        <v>1200</v>
      </c>
      <c r="P216" s="15">
        <f>O216*$S$3</f>
        <v>18</v>
      </c>
      <c r="Q216" s="15">
        <f>O216*$S$4</f>
        <v>24</v>
      </c>
    </row>
    <row r="217" spans="1:17">
      <c r="A217" s="2">
        <v>121</v>
      </c>
      <c r="B217" s="4">
        <f>DAY(G217)</f>
        <v>15</v>
      </c>
      <c r="C217" s="4">
        <f>MONTH(G217)</f>
        <v>10</v>
      </c>
      <c r="D217" s="4">
        <f>YEAR(G217)</f>
        <v>2023</v>
      </c>
      <c r="E217" s="4" t="str">
        <f>TEXT(G217,"dddd")</f>
        <v>Sunday</v>
      </c>
      <c r="F217" s="4" t="str">
        <f>TEXT(G217,"mmm")</f>
        <v>Oct</v>
      </c>
      <c r="G217" s="3">
        <v>45214</v>
      </c>
      <c r="H217" s="4" t="s">
        <v>250</v>
      </c>
      <c r="I217" s="4" t="s">
        <v>29</v>
      </c>
      <c r="J217" s="4" t="str" cm="1">
        <f t="array" ref="J217">_xlfn.IFS(K217&lt;30,"Young Adult",K217&lt;=50,"Adult",K217&gt;50,"Senior")</f>
        <v>Young Adult</v>
      </c>
      <c r="K217" s="4">
        <v>28</v>
      </c>
      <c r="L217" s="4" t="s">
        <v>9</v>
      </c>
      <c r="M217" s="4">
        <v>4</v>
      </c>
      <c r="N217" s="19">
        <v>50</v>
      </c>
      <c r="O217" s="15">
        <f>M217 * N217</f>
        <v>200</v>
      </c>
      <c r="P217" s="15">
        <f>O217*$S$3</f>
        <v>3</v>
      </c>
      <c r="Q217" s="15">
        <f>O217*$S$4</f>
        <v>4</v>
      </c>
    </row>
    <row r="218" spans="1:17">
      <c r="A218" s="2">
        <v>22</v>
      </c>
      <c r="B218" s="4">
        <f>DAY(G218)</f>
        <v>15</v>
      </c>
      <c r="C218" s="4">
        <f>MONTH(G218)</f>
        <v>10</v>
      </c>
      <c r="D218" s="4">
        <f>YEAR(G218)</f>
        <v>2023</v>
      </c>
      <c r="E218" s="4" t="str">
        <f>TEXT(G218,"dddd")</f>
        <v>Sunday</v>
      </c>
      <c r="F218" s="4" t="str">
        <f>TEXT(G218,"mmm")</f>
        <v>Oct</v>
      </c>
      <c r="G218" s="3">
        <v>45214</v>
      </c>
      <c r="H218" s="4" t="s">
        <v>251</v>
      </c>
      <c r="I218" s="4" t="s">
        <v>24</v>
      </c>
      <c r="J218" s="4" t="str" cm="1">
        <f t="array" ref="J218">_xlfn.IFS(K218&lt;30,"Young Adult",K218&lt;=50,"Adult",K218&gt;50,"Senior")</f>
        <v>Young Adult</v>
      </c>
      <c r="K218" s="4">
        <v>18</v>
      </c>
      <c r="L218" s="4" t="s">
        <v>8</v>
      </c>
      <c r="M218" s="4">
        <v>2</v>
      </c>
      <c r="N218" s="19">
        <v>50</v>
      </c>
      <c r="O218" s="15">
        <f>M218 * N218</f>
        <v>100</v>
      </c>
      <c r="P218" s="15">
        <f>O218*$S$3</f>
        <v>1.5</v>
      </c>
      <c r="Q218" s="15">
        <f>O218*$S$4</f>
        <v>2</v>
      </c>
    </row>
    <row r="219" spans="1:17">
      <c r="A219" s="2">
        <v>456</v>
      </c>
      <c r="B219" s="4">
        <f>DAY(G219)</f>
        <v>14</v>
      </c>
      <c r="C219" s="4">
        <f>MONTH(G219)</f>
        <v>10</v>
      </c>
      <c r="D219" s="4">
        <f>YEAR(G219)</f>
        <v>2023</v>
      </c>
      <c r="E219" s="4" t="str">
        <f>TEXT(G219,"dddd")</f>
        <v>Saturday</v>
      </c>
      <c r="F219" s="4" t="str">
        <f>TEXT(G219,"mmm")</f>
        <v>Oct</v>
      </c>
      <c r="G219" s="3">
        <v>45213</v>
      </c>
      <c r="H219" s="4" t="s">
        <v>252</v>
      </c>
      <c r="I219" s="4" t="s">
        <v>24</v>
      </c>
      <c r="J219" s="4" t="str" cm="1">
        <f t="array" ref="J219">_xlfn.IFS(K219&lt;30,"Young Adult",K219&lt;=50,"Adult",K219&gt;50,"Senior")</f>
        <v>Senior</v>
      </c>
      <c r="K219" s="4">
        <v>57</v>
      </c>
      <c r="L219" s="4" t="s">
        <v>9</v>
      </c>
      <c r="M219" s="4">
        <v>2</v>
      </c>
      <c r="N219" s="19">
        <v>30</v>
      </c>
      <c r="O219" s="15">
        <f>M219 * N219</f>
        <v>60</v>
      </c>
      <c r="P219" s="15">
        <f>O219*$S$3</f>
        <v>0.89999999999999991</v>
      </c>
      <c r="Q219" s="15">
        <f>O219*$S$4</f>
        <v>1.2</v>
      </c>
    </row>
    <row r="220" spans="1:17">
      <c r="A220" s="2">
        <v>627</v>
      </c>
      <c r="B220" s="4">
        <f>DAY(G220)</f>
        <v>14</v>
      </c>
      <c r="C220" s="4">
        <f>MONTH(G220)</f>
        <v>10</v>
      </c>
      <c r="D220" s="4">
        <f>YEAR(G220)</f>
        <v>2023</v>
      </c>
      <c r="E220" s="4" t="str">
        <f>TEXT(G220,"dddd")</f>
        <v>Saturday</v>
      </c>
      <c r="F220" s="4" t="str">
        <f>TEXT(G220,"mmm")</f>
        <v>Oct</v>
      </c>
      <c r="G220" s="3">
        <v>45213</v>
      </c>
      <c r="H220" s="4" t="s">
        <v>253</v>
      </c>
      <c r="I220" s="4" t="s">
        <v>24</v>
      </c>
      <c r="J220" s="4" t="str" cm="1">
        <f t="array" ref="J220">_xlfn.IFS(K220&lt;30,"Young Adult",K220&lt;=50,"Adult",K220&gt;50,"Senior")</f>
        <v>Senior</v>
      </c>
      <c r="K220" s="4">
        <v>57</v>
      </c>
      <c r="L220" s="4" t="s">
        <v>8</v>
      </c>
      <c r="M220" s="4">
        <v>1</v>
      </c>
      <c r="N220" s="19">
        <v>50</v>
      </c>
      <c r="O220" s="15">
        <f>M220 * N220</f>
        <v>50</v>
      </c>
      <c r="P220" s="15">
        <f>O220*$S$3</f>
        <v>0.75</v>
      </c>
      <c r="Q220" s="15">
        <f>O220*$S$4</f>
        <v>1</v>
      </c>
    </row>
    <row r="221" spans="1:17">
      <c r="A221" s="2">
        <v>97</v>
      </c>
      <c r="B221" s="4">
        <f>DAY(G221)</f>
        <v>13</v>
      </c>
      <c r="C221" s="4">
        <f>MONTH(G221)</f>
        <v>10</v>
      </c>
      <c r="D221" s="4">
        <f>YEAR(G221)</f>
        <v>2023</v>
      </c>
      <c r="E221" s="4" t="str">
        <f>TEXT(G221,"dddd")</f>
        <v>Friday</v>
      </c>
      <c r="F221" s="4" t="str">
        <f>TEXT(G221,"mmm")</f>
        <v>Oct</v>
      </c>
      <c r="G221" s="3">
        <v>45212</v>
      </c>
      <c r="H221" s="4" t="s">
        <v>254</v>
      </c>
      <c r="I221" s="4" t="s">
        <v>29</v>
      </c>
      <c r="J221" s="4" t="str" cm="1">
        <f t="array" ref="J221">_xlfn.IFS(K221&lt;30,"Young Adult",K221&lt;=50,"Adult",K221&gt;50,"Senior")</f>
        <v>Senior</v>
      </c>
      <c r="K221" s="4">
        <v>51</v>
      </c>
      <c r="L221" s="4" t="s">
        <v>7</v>
      </c>
      <c r="M221" s="4">
        <v>2</v>
      </c>
      <c r="N221" s="19">
        <v>500</v>
      </c>
      <c r="O221" s="15">
        <f>M221 * N221</f>
        <v>1000</v>
      </c>
      <c r="P221" s="15">
        <f>O221*$S$3</f>
        <v>15</v>
      </c>
      <c r="Q221" s="15">
        <f>O221*$S$4</f>
        <v>20</v>
      </c>
    </row>
    <row r="222" spans="1:17">
      <c r="A222" s="2">
        <v>619</v>
      </c>
      <c r="B222" s="4">
        <f>DAY(G222)</f>
        <v>13</v>
      </c>
      <c r="C222" s="4">
        <f>MONTH(G222)</f>
        <v>10</v>
      </c>
      <c r="D222" s="4">
        <f>YEAR(G222)</f>
        <v>2023</v>
      </c>
      <c r="E222" s="4" t="str">
        <f>TEXT(G222,"dddd")</f>
        <v>Friday</v>
      </c>
      <c r="F222" s="4" t="str">
        <f>TEXT(G222,"mmm")</f>
        <v>Oct</v>
      </c>
      <c r="G222" s="3">
        <v>45212</v>
      </c>
      <c r="H222" s="4" t="s">
        <v>255</v>
      </c>
      <c r="I222" s="4" t="s">
        <v>24</v>
      </c>
      <c r="J222" s="4" t="str" cm="1">
        <f t="array" ref="J222">_xlfn.IFS(K222&lt;30,"Young Adult",K222&lt;=50,"Adult",K222&gt;50,"Senior")</f>
        <v>Adult</v>
      </c>
      <c r="K222" s="4">
        <v>47</v>
      </c>
      <c r="L222" s="4" t="s">
        <v>9</v>
      </c>
      <c r="M222" s="4">
        <v>4</v>
      </c>
      <c r="N222" s="19">
        <v>25</v>
      </c>
      <c r="O222" s="15">
        <f>M222 * N222</f>
        <v>100</v>
      </c>
      <c r="P222" s="15">
        <f>O222*$S$3</f>
        <v>1.5</v>
      </c>
      <c r="Q222" s="15">
        <f>O222*$S$4</f>
        <v>2</v>
      </c>
    </row>
    <row r="223" spans="1:17">
      <c r="A223" s="2">
        <v>948</v>
      </c>
      <c r="B223" s="4">
        <f>DAY(G223)</f>
        <v>13</v>
      </c>
      <c r="C223" s="4">
        <f>MONTH(G223)</f>
        <v>10</v>
      </c>
      <c r="D223" s="4">
        <f>YEAR(G223)</f>
        <v>2023</v>
      </c>
      <c r="E223" s="4" t="str">
        <f>TEXT(G223,"dddd")</f>
        <v>Friday</v>
      </c>
      <c r="F223" s="4" t="str">
        <f>TEXT(G223,"mmm")</f>
        <v>Oct</v>
      </c>
      <c r="G223" s="3">
        <v>45212</v>
      </c>
      <c r="H223" s="4" t="s">
        <v>256</v>
      </c>
      <c r="I223" s="4" t="s">
        <v>29</v>
      </c>
      <c r="J223" s="4" t="str" cm="1">
        <f t="array" ref="J223">_xlfn.IFS(K223&lt;30,"Young Adult",K223&lt;=50,"Adult",K223&gt;50,"Senior")</f>
        <v>Young Adult</v>
      </c>
      <c r="K223" s="4">
        <v>23</v>
      </c>
      <c r="L223" s="4" t="s">
        <v>9</v>
      </c>
      <c r="M223" s="4">
        <v>3</v>
      </c>
      <c r="N223" s="19">
        <v>25</v>
      </c>
      <c r="O223" s="15">
        <f>M223 * N223</f>
        <v>75</v>
      </c>
      <c r="P223" s="15">
        <f>O223*$S$3</f>
        <v>1.125</v>
      </c>
      <c r="Q223" s="15">
        <f>O223*$S$4</f>
        <v>1.5</v>
      </c>
    </row>
    <row r="224" spans="1:17">
      <c r="A224" s="2">
        <v>852</v>
      </c>
      <c r="B224" s="4">
        <f>DAY(G224)</f>
        <v>12</v>
      </c>
      <c r="C224" s="4">
        <f>MONTH(G224)</f>
        <v>10</v>
      </c>
      <c r="D224" s="4">
        <f>YEAR(G224)</f>
        <v>2023</v>
      </c>
      <c r="E224" s="4" t="str">
        <f>TEXT(G224,"dddd")</f>
        <v>Thursday</v>
      </c>
      <c r="F224" s="4" t="str">
        <f>TEXT(G224,"mmm")</f>
        <v>Oct</v>
      </c>
      <c r="G224" s="3">
        <v>45211</v>
      </c>
      <c r="H224" s="4" t="s">
        <v>257</v>
      </c>
      <c r="I224" s="4" t="s">
        <v>29</v>
      </c>
      <c r="J224" s="4" t="str" cm="1">
        <f t="array" ref="J224">_xlfn.IFS(K224&lt;30,"Young Adult",K224&lt;=50,"Adult",K224&gt;50,"Senior")</f>
        <v>Adult</v>
      </c>
      <c r="K224" s="4">
        <v>41</v>
      </c>
      <c r="L224" s="4" t="s">
        <v>8</v>
      </c>
      <c r="M224" s="4">
        <v>1</v>
      </c>
      <c r="N224" s="19">
        <v>300</v>
      </c>
      <c r="O224" s="15">
        <f>M224 * N224</f>
        <v>300</v>
      </c>
      <c r="P224" s="15">
        <f>O224*$S$3</f>
        <v>4.5</v>
      </c>
      <c r="Q224" s="15">
        <f>O224*$S$4</f>
        <v>6</v>
      </c>
    </row>
    <row r="225" spans="1:17">
      <c r="A225" s="2">
        <v>844</v>
      </c>
      <c r="B225" s="4">
        <f>DAY(G225)</f>
        <v>12</v>
      </c>
      <c r="C225" s="4">
        <f>MONTH(G225)</f>
        <v>10</v>
      </c>
      <c r="D225" s="4">
        <f>YEAR(G225)</f>
        <v>2023</v>
      </c>
      <c r="E225" s="4" t="str">
        <f>TEXT(G225,"dddd")</f>
        <v>Thursday</v>
      </c>
      <c r="F225" s="4" t="str">
        <f>TEXT(G225,"mmm")</f>
        <v>Oct</v>
      </c>
      <c r="G225" s="3">
        <v>45211</v>
      </c>
      <c r="H225" s="4" t="s">
        <v>258</v>
      </c>
      <c r="I225" s="4" t="s">
        <v>24</v>
      </c>
      <c r="J225" s="4" t="str" cm="1">
        <f t="array" ref="J225">_xlfn.IFS(K225&lt;30,"Young Adult",K225&lt;=50,"Adult",K225&gt;50,"Senior")</f>
        <v>Adult</v>
      </c>
      <c r="K225" s="4">
        <v>35</v>
      </c>
      <c r="L225" s="4" t="s">
        <v>8</v>
      </c>
      <c r="M225" s="4">
        <v>3</v>
      </c>
      <c r="N225" s="19">
        <v>50</v>
      </c>
      <c r="O225" s="15">
        <f>M225 * N225</f>
        <v>150</v>
      </c>
      <c r="P225" s="15">
        <f>O225*$S$3</f>
        <v>2.25</v>
      </c>
      <c r="Q225" s="15">
        <f>O225*$S$4</f>
        <v>3</v>
      </c>
    </row>
    <row r="226" spans="1:17">
      <c r="A226" s="2">
        <v>310</v>
      </c>
      <c r="B226" s="4">
        <f>DAY(G226)</f>
        <v>12</v>
      </c>
      <c r="C226" s="4">
        <f>MONTH(G226)</f>
        <v>10</v>
      </c>
      <c r="D226" s="4">
        <f>YEAR(G226)</f>
        <v>2023</v>
      </c>
      <c r="E226" s="4" t="str">
        <f>TEXT(G226,"dddd")</f>
        <v>Thursday</v>
      </c>
      <c r="F226" s="4" t="str">
        <f>TEXT(G226,"mmm")</f>
        <v>Oct</v>
      </c>
      <c r="G226" s="3">
        <v>45211</v>
      </c>
      <c r="H226" s="4" t="s">
        <v>259</v>
      </c>
      <c r="I226" s="4" t="s">
        <v>29</v>
      </c>
      <c r="J226" s="4" t="str" cm="1">
        <f t="array" ref="J226">_xlfn.IFS(K226&lt;30,"Young Adult",K226&lt;=50,"Adult",K226&gt;50,"Senior")</f>
        <v>Young Adult</v>
      </c>
      <c r="K226" s="4">
        <v>28</v>
      </c>
      <c r="L226" s="4" t="s">
        <v>7</v>
      </c>
      <c r="M226" s="4">
        <v>1</v>
      </c>
      <c r="N226" s="19">
        <v>25</v>
      </c>
      <c r="O226" s="15">
        <f>M226 * N226</f>
        <v>25</v>
      </c>
      <c r="P226" s="15">
        <f>O226*$S$3</f>
        <v>0.375</v>
      </c>
      <c r="Q226" s="15">
        <f>O226*$S$4</f>
        <v>0.5</v>
      </c>
    </row>
    <row r="227" spans="1:17">
      <c r="A227" s="2">
        <v>872</v>
      </c>
      <c r="B227" s="4">
        <f>DAY(G227)</f>
        <v>11</v>
      </c>
      <c r="C227" s="4">
        <f>MONTH(G227)</f>
        <v>10</v>
      </c>
      <c r="D227" s="4">
        <f>YEAR(G227)</f>
        <v>2023</v>
      </c>
      <c r="E227" s="4" t="str">
        <f>TEXT(G227,"dddd")</f>
        <v>Wednesday</v>
      </c>
      <c r="F227" s="4" t="str">
        <f>TEXT(G227,"mmm")</f>
        <v>Oct</v>
      </c>
      <c r="G227" s="3">
        <v>45210</v>
      </c>
      <c r="H227" s="4" t="s">
        <v>260</v>
      </c>
      <c r="I227" s="4" t="s">
        <v>29</v>
      </c>
      <c r="J227" s="4" t="str" cm="1">
        <f t="array" ref="J227">_xlfn.IFS(K227&lt;30,"Young Adult",K227&lt;=50,"Adult",K227&gt;50,"Senior")</f>
        <v>Senior</v>
      </c>
      <c r="K227" s="4">
        <v>63</v>
      </c>
      <c r="L227" s="4" t="s">
        <v>7</v>
      </c>
      <c r="M227" s="4">
        <v>3</v>
      </c>
      <c r="N227" s="19">
        <v>25</v>
      </c>
      <c r="O227" s="15">
        <f>M227 * N227</f>
        <v>75</v>
      </c>
      <c r="P227" s="15">
        <f>O227*$S$3</f>
        <v>1.125</v>
      </c>
      <c r="Q227" s="15">
        <f>O227*$S$4</f>
        <v>1.5</v>
      </c>
    </row>
    <row r="228" spans="1:17">
      <c r="A228" s="2">
        <v>401</v>
      </c>
      <c r="B228" s="4">
        <f>DAY(G228)</f>
        <v>11</v>
      </c>
      <c r="C228" s="4">
        <f>MONTH(G228)</f>
        <v>10</v>
      </c>
      <c r="D228" s="4">
        <f>YEAR(G228)</f>
        <v>2023</v>
      </c>
      <c r="E228" s="4" t="str">
        <f>TEXT(G228,"dddd")</f>
        <v>Wednesday</v>
      </c>
      <c r="F228" s="4" t="str">
        <f>TEXT(G228,"mmm")</f>
        <v>Oct</v>
      </c>
      <c r="G228" s="3">
        <v>45210</v>
      </c>
      <c r="H228" s="4" t="s">
        <v>261</v>
      </c>
      <c r="I228" s="4" t="s">
        <v>29</v>
      </c>
      <c r="J228" s="4" t="str" cm="1">
        <f t="array" ref="J228">_xlfn.IFS(K228&lt;30,"Young Adult",K228&lt;=50,"Adult",K228&gt;50,"Senior")</f>
        <v>Senior</v>
      </c>
      <c r="K228" s="4">
        <v>62</v>
      </c>
      <c r="L228" s="4" t="s">
        <v>8</v>
      </c>
      <c r="M228" s="4">
        <v>1</v>
      </c>
      <c r="N228" s="19">
        <v>300</v>
      </c>
      <c r="O228" s="15">
        <f>M228 * N228</f>
        <v>300</v>
      </c>
      <c r="P228" s="15">
        <f>O228*$S$3</f>
        <v>4.5</v>
      </c>
      <c r="Q228" s="15">
        <f>O228*$S$4</f>
        <v>6</v>
      </c>
    </row>
    <row r="229" spans="1:17">
      <c r="A229" s="2">
        <v>914</v>
      </c>
      <c r="B229" s="4">
        <f>DAY(G229)</f>
        <v>11</v>
      </c>
      <c r="C229" s="4">
        <f>MONTH(G229)</f>
        <v>10</v>
      </c>
      <c r="D229" s="4">
        <f>YEAR(G229)</f>
        <v>2023</v>
      </c>
      <c r="E229" s="4" t="str">
        <f>TEXT(G229,"dddd")</f>
        <v>Wednesday</v>
      </c>
      <c r="F229" s="4" t="str">
        <f>TEXT(G229,"mmm")</f>
        <v>Oct</v>
      </c>
      <c r="G229" s="3">
        <v>45210</v>
      </c>
      <c r="H229" s="4" t="s">
        <v>262</v>
      </c>
      <c r="I229" s="4" t="s">
        <v>29</v>
      </c>
      <c r="J229" s="4" t="str" cm="1">
        <f t="array" ref="J229">_xlfn.IFS(K229&lt;30,"Young Adult",K229&lt;=50,"Adult",K229&gt;50,"Senior")</f>
        <v>Senior</v>
      </c>
      <c r="K229" s="4">
        <v>59</v>
      </c>
      <c r="L229" s="4" t="s">
        <v>9</v>
      </c>
      <c r="M229" s="4">
        <v>1</v>
      </c>
      <c r="N229" s="19">
        <v>500</v>
      </c>
      <c r="O229" s="15">
        <f>M229 * N229</f>
        <v>500</v>
      </c>
      <c r="P229" s="15">
        <f>O229*$S$3</f>
        <v>7.5</v>
      </c>
      <c r="Q229" s="15">
        <f>O229*$S$4</f>
        <v>10</v>
      </c>
    </row>
    <row r="230" spans="1:17">
      <c r="A230" s="2">
        <v>227</v>
      </c>
      <c r="B230" s="4">
        <f>DAY(G230)</f>
        <v>11</v>
      </c>
      <c r="C230" s="4">
        <f>MONTH(G230)</f>
        <v>10</v>
      </c>
      <c r="D230" s="4">
        <f>YEAR(G230)</f>
        <v>2023</v>
      </c>
      <c r="E230" s="4" t="str">
        <f>TEXT(G230,"dddd")</f>
        <v>Wednesday</v>
      </c>
      <c r="F230" s="4" t="str">
        <f>TEXT(G230,"mmm")</f>
        <v>Oct</v>
      </c>
      <c r="G230" s="3">
        <v>45210</v>
      </c>
      <c r="H230" s="4" t="s">
        <v>263</v>
      </c>
      <c r="I230" s="4" t="s">
        <v>24</v>
      </c>
      <c r="J230" s="4" t="str" cm="1">
        <f t="array" ref="J230">_xlfn.IFS(K230&lt;30,"Young Adult",K230&lt;=50,"Adult",K230&gt;50,"Senior")</f>
        <v>Adult</v>
      </c>
      <c r="K230" s="4">
        <v>36</v>
      </c>
      <c r="L230" s="4" t="s">
        <v>9</v>
      </c>
      <c r="M230" s="4">
        <v>2</v>
      </c>
      <c r="N230" s="19">
        <v>50</v>
      </c>
      <c r="O230" s="15">
        <f>M230 * N230</f>
        <v>100</v>
      </c>
      <c r="P230" s="15">
        <f>O230*$S$3</f>
        <v>1.5</v>
      </c>
      <c r="Q230" s="15">
        <f>O230*$S$4</f>
        <v>2</v>
      </c>
    </row>
    <row r="231" spans="1:17">
      <c r="A231" s="2">
        <v>546</v>
      </c>
      <c r="B231" s="4">
        <f>DAY(G231)</f>
        <v>11</v>
      </c>
      <c r="C231" s="4">
        <f>MONTH(G231)</f>
        <v>10</v>
      </c>
      <c r="D231" s="4">
        <f>YEAR(G231)</f>
        <v>2023</v>
      </c>
      <c r="E231" s="4" t="str">
        <f>TEXT(G231,"dddd")</f>
        <v>Wednesday</v>
      </c>
      <c r="F231" s="4" t="str">
        <f>TEXT(G231,"mmm")</f>
        <v>Oct</v>
      </c>
      <c r="G231" s="3">
        <v>45210</v>
      </c>
      <c r="H231" s="4" t="s">
        <v>264</v>
      </c>
      <c r="I231" s="4" t="s">
        <v>29</v>
      </c>
      <c r="J231" s="4" t="str" cm="1">
        <f t="array" ref="J231">_xlfn.IFS(K231&lt;30,"Young Adult",K231&lt;=50,"Adult",K231&gt;50,"Senior")</f>
        <v>Adult</v>
      </c>
      <c r="K231" s="4">
        <v>36</v>
      </c>
      <c r="L231" s="4" t="s">
        <v>9</v>
      </c>
      <c r="M231" s="4">
        <v>4</v>
      </c>
      <c r="N231" s="19">
        <v>50</v>
      </c>
      <c r="O231" s="15">
        <f>M231 * N231</f>
        <v>200</v>
      </c>
      <c r="P231" s="15">
        <f>O231*$S$3</f>
        <v>3</v>
      </c>
      <c r="Q231" s="15">
        <f>O231*$S$4</f>
        <v>4</v>
      </c>
    </row>
    <row r="232" spans="1:17">
      <c r="A232" s="2">
        <v>149</v>
      </c>
      <c r="B232" s="4">
        <f>DAY(G232)</f>
        <v>11</v>
      </c>
      <c r="C232" s="4">
        <f>MONTH(G232)</f>
        <v>10</v>
      </c>
      <c r="D232" s="4">
        <f>YEAR(G232)</f>
        <v>2023</v>
      </c>
      <c r="E232" s="4" t="str">
        <f>TEXT(G232,"dddd")</f>
        <v>Wednesday</v>
      </c>
      <c r="F232" s="4" t="str">
        <f>TEXT(G232,"mmm")</f>
        <v>Oct</v>
      </c>
      <c r="G232" s="3">
        <v>45210</v>
      </c>
      <c r="H232" s="4" t="s">
        <v>265</v>
      </c>
      <c r="I232" s="4" t="s">
        <v>24</v>
      </c>
      <c r="J232" s="4" t="str" cm="1">
        <f t="array" ref="J232">_xlfn.IFS(K232&lt;30,"Young Adult",K232&lt;=50,"Adult",K232&gt;50,"Senior")</f>
        <v>Young Adult</v>
      </c>
      <c r="K232" s="4">
        <v>22</v>
      </c>
      <c r="L232" s="4" t="s">
        <v>8</v>
      </c>
      <c r="M232" s="4">
        <v>3</v>
      </c>
      <c r="N232" s="19">
        <v>25</v>
      </c>
      <c r="O232" s="15">
        <f>M232 * N232</f>
        <v>75</v>
      </c>
      <c r="P232" s="15">
        <f>O232*$S$3</f>
        <v>1.125</v>
      </c>
      <c r="Q232" s="15">
        <f>O232*$S$4</f>
        <v>1.5</v>
      </c>
    </row>
    <row r="233" spans="1:17">
      <c r="A233" s="2">
        <v>393</v>
      </c>
      <c r="B233" s="4">
        <f>DAY(G233)</f>
        <v>11</v>
      </c>
      <c r="C233" s="4">
        <f>MONTH(G233)</f>
        <v>10</v>
      </c>
      <c r="D233" s="4">
        <f>YEAR(G233)</f>
        <v>2023</v>
      </c>
      <c r="E233" s="4" t="str">
        <f>TEXT(G233,"dddd")</f>
        <v>Wednesday</v>
      </c>
      <c r="F233" s="4" t="str">
        <f>TEXT(G233,"mmm")</f>
        <v>Oct</v>
      </c>
      <c r="G233" s="3">
        <v>45210</v>
      </c>
      <c r="H233" s="4" t="s">
        <v>266</v>
      </c>
      <c r="I233" s="4" t="s">
        <v>29</v>
      </c>
      <c r="J233" s="4" t="str" cm="1">
        <f t="array" ref="J233">_xlfn.IFS(K233&lt;30,"Young Adult",K233&lt;=50,"Adult",K233&gt;50,"Senior")</f>
        <v>Young Adult</v>
      </c>
      <c r="K233" s="4">
        <v>22</v>
      </c>
      <c r="L233" s="4" t="s">
        <v>7</v>
      </c>
      <c r="M233" s="4">
        <v>2</v>
      </c>
      <c r="N233" s="19">
        <v>500</v>
      </c>
      <c r="O233" s="15">
        <f>M233 * N233</f>
        <v>1000</v>
      </c>
      <c r="P233" s="15">
        <f>O233*$S$3</f>
        <v>15</v>
      </c>
      <c r="Q233" s="15">
        <f>O233*$S$4</f>
        <v>20</v>
      </c>
    </row>
    <row r="234" spans="1:17">
      <c r="A234" s="2">
        <v>441</v>
      </c>
      <c r="B234" s="4">
        <f>DAY(G234)</f>
        <v>10</v>
      </c>
      <c r="C234" s="4">
        <f>MONTH(G234)</f>
        <v>10</v>
      </c>
      <c r="D234" s="4">
        <f>YEAR(G234)</f>
        <v>2023</v>
      </c>
      <c r="E234" s="4" t="str">
        <f>TEXT(G234,"dddd")</f>
        <v>Tuesday</v>
      </c>
      <c r="F234" s="4" t="str">
        <f>TEXT(G234,"mmm")</f>
        <v>Oct</v>
      </c>
      <c r="G234" s="3">
        <v>45209</v>
      </c>
      <c r="H234" s="4" t="s">
        <v>267</v>
      </c>
      <c r="I234" s="4" t="s">
        <v>24</v>
      </c>
      <c r="J234" s="4" t="str" cm="1">
        <f t="array" ref="J234">_xlfn.IFS(K234&lt;30,"Young Adult",K234&lt;=50,"Adult",K234&gt;50,"Senior")</f>
        <v>Senior</v>
      </c>
      <c r="K234" s="4">
        <v>57</v>
      </c>
      <c r="L234" s="4" t="s">
        <v>7</v>
      </c>
      <c r="M234" s="4">
        <v>4</v>
      </c>
      <c r="N234" s="19">
        <v>300</v>
      </c>
      <c r="O234" s="15">
        <f>M234 * N234</f>
        <v>1200</v>
      </c>
      <c r="P234" s="15">
        <f>O234*$S$3</f>
        <v>18</v>
      </c>
      <c r="Q234" s="15">
        <f>O234*$S$4</f>
        <v>24</v>
      </c>
    </row>
    <row r="235" spans="1:17">
      <c r="A235" s="2">
        <v>976</v>
      </c>
      <c r="B235" s="4">
        <f>DAY(G235)</f>
        <v>10</v>
      </c>
      <c r="C235" s="4">
        <f>MONTH(G235)</f>
        <v>10</v>
      </c>
      <c r="D235" s="4">
        <f>YEAR(G235)</f>
        <v>2023</v>
      </c>
      <c r="E235" s="4" t="str">
        <f>TEXT(G235,"dddd")</f>
        <v>Tuesday</v>
      </c>
      <c r="F235" s="4" t="str">
        <f>TEXT(G235,"mmm")</f>
        <v>Oct</v>
      </c>
      <c r="G235" s="3">
        <v>45209</v>
      </c>
      <c r="H235" s="4" t="s">
        <v>268</v>
      </c>
      <c r="I235" s="4" t="s">
        <v>29</v>
      </c>
      <c r="J235" s="4" t="str" cm="1">
        <f t="array" ref="J235">_xlfn.IFS(K235&lt;30,"Young Adult",K235&lt;=50,"Adult",K235&gt;50,"Senior")</f>
        <v>Adult</v>
      </c>
      <c r="K235" s="4">
        <v>48</v>
      </c>
      <c r="L235" s="4" t="s">
        <v>7</v>
      </c>
      <c r="M235" s="4">
        <v>2</v>
      </c>
      <c r="N235" s="19">
        <v>300</v>
      </c>
      <c r="O235" s="15">
        <f>M235 * N235</f>
        <v>600</v>
      </c>
      <c r="P235" s="15">
        <f>O235*$S$3</f>
        <v>9</v>
      </c>
      <c r="Q235" s="15">
        <f>O235*$S$4</f>
        <v>12</v>
      </c>
    </row>
    <row r="236" spans="1:17">
      <c r="A236" s="2">
        <v>428</v>
      </c>
      <c r="B236" s="4">
        <f>DAY(G236)</f>
        <v>10</v>
      </c>
      <c r="C236" s="4">
        <f>MONTH(G236)</f>
        <v>10</v>
      </c>
      <c r="D236" s="4">
        <f>YEAR(G236)</f>
        <v>2023</v>
      </c>
      <c r="E236" s="4" t="str">
        <f>TEXT(G236,"dddd")</f>
        <v>Tuesday</v>
      </c>
      <c r="F236" s="4" t="str">
        <f>TEXT(G236,"mmm")</f>
        <v>Oct</v>
      </c>
      <c r="G236" s="3">
        <v>45209</v>
      </c>
      <c r="H236" s="4" t="s">
        <v>269</v>
      </c>
      <c r="I236" s="4" t="s">
        <v>29</v>
      </c>
      <c r="J236" s="4" t="str" cm="1">
        <f t="array" ref="J236">_xlfn.IFS(K236&lt;30,"Young Adult",K236&lt;=50,"Adult",K236&gt;50,"Senior")</f>
        <v>Adult</v>
      </c>
      <c r="K236" s="4">
        <v>40</v>
      </c>
      <c r="L236" s="4" t="s">
        <v>9</v>
      </c>
      <c r="M236" s="4">
        <v>4</v>
      </c>
      <c r="N236" s="19">
        <v>50</v>
      </c>
      <c r="O236" s="15">
        <f>M236 * N236</f>
        <v>200</v>
      </c>
      <c r="P236" s="15">
        <f>O236*$S$3</f>
        <v>3</v>
      </c>
      <c r="Q236" s="15">
        <f>O236*$S$4</f>
        <v>4</v>
      </c>
    </row>
    <row r="237" spans="1:17">
      <c r="A237" s="2">
        <v>55</v>
      </c>
      <c r="B237" s="4">
        <f>DAY(G237)</f>
        <v>10</v>
      </c>
      <c r="C237" s="4">
        <f>MONTH(G237)</f>
        <v>10</v>
      </c>
      <c r="D237" s="4">
        <f>YEAR(G237)</f>
        <v>2023</v>
      </c>
      <c r="E237" s="4" t="str">
        <f>TEXT(G237,"dddd")</f>
        <v>Tuesday</v>
      </c>
      <c r="F237" s="4" t="str">
        <f>TEXT(G237,"mmm")</f>
        <v>Oct</v>
      </c>
      <c r="G237" s="3">
        <v>45209</v>
      </c>
      <c r="H237" s="4" t="s">
        <v>270</v>
      </c>
      <c r="I237" s="4" t="s">
        <v>24</v>
      </c>
      <c r="J237" s="4" t="str" cm="1">
        <f t="array" ref="J237">_xlfn.IFS(K237&lt;30,"Young Adult",K237&lt;=50,"Adult",K237&gt;50,"Senior")</f>
        <v>Adult</v>
      </c>
      <c r="K237" s="4">
        <v>31</v>
      </c>
      <c r="L237" s="4" t="s">
        <v>7</v>
      </c>
      <c r="M237" s="4">
        <v>4</v>
      </c>
      <c r="N237" s="19">
        <v>30</v>
      </c>
      <c r="O237" s="15">
        <f>M237 * N237</f>
        <v>120</v>
      </c>
      <c r="P237" s="15">
        <f>O237*$S$3</f>
        <v>1.7999999999999998</v>
      </c>
      <c r="Q237" s="15">
        <f>O237*$S$4</f>
        <v>2.4</v>
      </c>
    </row>
    <row r="238" spans="1:17">
      <c r="A238" s="2">
        <v>201</v>
      </c>
      <c r="B238" s="4">
        <f>DAY(G238)</f>
        <v>9</v>
      </c>
      <c r="C238" s="4">
        <f>MONTH(G238)</f>
        <v>10</v>
      </c>
      <c r="D238" s="4">
        <f>YEAR(G238)</f>
        <v>2023</v>
      </c>
      <c r="E238" s="4" t="str">
        <f>TEXT(G238,"dddd")</f>
        <v>Monday</v>
      </c>
      <c r="F238" s="4" t="str">
        <f>TEXT(G238,"mmm")</f>
        <v>Oct</v>
      </c>
      <c r="G238" s="3">
        <v>45208</v>
      </c>
      <c r="H238" s="4" t="s">
        <v>271</v>
      </c>
      <c r="I238" s="4" t="s">
        <v>24</v>
      </c>
      <c r="J238" s="4" t="str" cm="1">
        <f t="array" ref="J238">_xlfn.IFS(K238&lt;30,"Young Adult",K238&lt;=50,"Adult",K238&gt;50,"Senior")</f>
        <v>Senior</v>
      </c>
      <c r="K238" s="4">
        <v>56</v>
      </c>
      <c r="L238" s="4" t="s">
        <v>9</v>
      </c>
      <c r="M238" s="4">
        <v>1</v>
      </c>
      <c r="N238" s="19">
        <v>25</v>
      </c>
      <c r="O238" s="15">
        <f>M238 * N238</f>
        <v>25</v>
      </c>
      <c r="P238" s="15">
        <f>O238*$S$3</f>
        <v>0.375</v>
      </c>
      <c r="Q238" s="15">
        <f>O238*$S$4</f>
        <v>0.5</v>
      </c>
    </row>
    <row r="239" spans="1:17">
      <c r="A239" s="2">
        <v>286</v>
      </c>
      <c r="B239" s="4">
        <f>DAY(G239)</f>
        <v>9</v>
      </c>
      <c r="C239" s="4">
        <f>MONTH(G239)</f>
        <v>10</v>
      </c>
      <c r="D239" s="4">
        <f>YEAR(G239)</f>
        <v>2023</v>
      </c>
      <c r="E239" s="4" t="str">
        <f>TEXT(G239,"dddd")</f>
        <v>Monday</v>
      </c>
      <c r="F239" s="4" t="str">
        <f>TEXT(G239,"mmm")</f>
        <v>Oct</v>
      </c>
      <c r="G239" s="3">
        <v>45208</v>
      </c>
      <c r="H239" s="4" t="s">
        <v>272</v>
      </c>
      <c r="I239" s="4" t="s">
        <v>24</v>
      </c>
      <c r="J239" s="4" t="str" cm="1">
        <f t="array" ref="J239">_xlfn.IFS(K239&lt;30,"Young Adult",K239&lt;=50,"Adult",K239&gt;50,"Senior")</f>
        <v>Senior</v>
      </c>
      <c r="K239" s="4">
        <v>55</v>
      </c>
      <c r="L239" s="4" t="s">
        <v>9</v>
      </c>
      <c r="M239" s="4">
        <v>2</v>
      </c>
      <c r="N239" s="19">
        <v>25</v>
      </c>
      <c r="O239" s="15">
        <f>M239 * N239</f>
        <v>50</v>
      </c>
      <c r="P239" s="15">
        <f>O239*$S$3</f>
        <v>0.75</v>
      </c>
      <c r="Q239" s="15">
        <f>O239*$S$4</f>
        <v>1</v>
      </c>
    </row>
    <row r="240" spans="1:17">
      <c r="A240" s="2">
        <v>876</v>
      </c>
      <c r="B240" s="4">
        <f>DAY(G240)</f>
        <v>9</v>
      </c>
      <c r="C240" s="4">
        <f>MONTH(G240)</f>
        <v>10</v>
      </c>
      <c r="D240" s="4">
        <f>YEAR(G240)</f>
        <v>2023</v>
      </c>
      <c r="E240" s="4" t="str">
        <f>TEXT(G240,"dddd")</f>
        <v>Monday</v>
      </c>
      <c r="F240" s="4" t="str">
        <f>TEXT(G240,"mmm")</f>
        <v>Oct</v>
      </c>
      <c r="G240" s="3">
        <v>45208</v>
      </c>
      <c r="H240" s="4" t="s">
        <v>273</v>
      </c>
      <c r="I240" s="4" t="s">
        <v>24</v>
      </c>
      <c r="J240" s="4" t="str" cm="1">
        <f t="array" ref="J240">_xlfn.IFS(K240&lt;30,"Young Adult",K240&lt;=50,"Adult",K240&gt;50,"Senior")</f>
        <v>Adult</v>
      </c>
      <c r="K240" s="4">
        <v>43</v>
      </c>
      <c r="L240" s="4" t="s">
        <v>8</v>
      </c>
      <c r="M240" s="4">
        <v>4</v>
      </c>
      <c r="N240" s="19">
        <v>30</v>
      </c>
      <c r="O240" s="15">
        <f>M240 * N240</f>
        <v>120</v>
      </c>
      <c r="P240" s="15">
        <f>O240*$S$3</f>
        <v>1.7999999999999998</v>
      </c>
      <c r="Q240" s="15">
        <f>O240*$S$4</f>
        <v>2.4</v>
      </c>
    </row>
    <row r="241" spans="1:17">
      <c r="A241" s="2">
        <v>634</v>
      </c>
      <c r="B241" s="4">
        <f>DAY(G241)</f>
        <v>8</v>
      </c>
      <c r="C241" s="4">
        <f>MONTH(G241)</f>
        <v>10</v>
      </c>
      <c r="D241" s="4">
        <f>YEAR(G241)</f>
        <v>2023</v>
      </c>
      <c r="E241" s="4" t="str">
        <f>TEXT(G241,"dddd")</f>
        <v>Sunday</v>
      </c>
      <c r="F241" s="4" t="str">
        <f>TEXT(G241,"mmm")</f>
        <v>Oct</v>
      </c>
      <c r="G241" s="3">
        <v>45207</v>
      </c>
      <c r="H241" s="4" t="s">
        <v>274</v>
      </c>
      <c r="I241" s="4" t="s">
        <v>24</v>
      </c>
      <c r="J241" s="4" t="str" cm="1">
        <f t="array" ref="J241">_xlfn.IFS(K241&lt;30,"Young Adult",K241&lt;=50,"Adult",K241&gt;50,"Senior")</f>
        <v>Senior</v>
      </c>
      <c r="K241" s="4">
        <v>60</v>
      </c>
      <c r="L241" s="4" t="s">
        <v>9</v>
      </c>
      <c r="M241" s="4">
        <v>4</v>
      </c>
      <c r="N241" s="19">
        <v>500</v>
      </c>
      <c r="O241" s="15">
        <f>M241 * N241</f>
        <v>2000</v>
      </c>
      <c r="P241" s="15">
        <f>O241*$S$3</f>
        <v>30</v>
      </c>
      <c r="Q241" s="15">
        <f>O241*$S$4</f>
        <v>40</v>
      </c>
    </row>
    <row r="242" spans="1:17">
      <c r="A242" s="2">
        <v>558</v>
      </c>
      <c r="B242" s="4">
        <f>DAY(G242)</f>
        <v>8</v>
      </c>
      <c r="C242" s="4">
        <f>MONTH(G242)</f>
        <v>10</v>
      </c>
      <c r="D242" s="4">
        <f>YEAR(G242)</f>
        <v>2023</v>
      </c>
      <c r="E242" s="4" t="str">
        <f>TEXT(G242,"dddd")</f>
        <v>Sunday</v>
      </c>
      <c r="F242" s="4" t="str">
        <f>TEXT(G242,"mmm")</f>
        <v>Oct</v>
      </c>
      <c r="G242" s="3">
        <v>45207</v>
      </c>
      <c r="H242" s="4" t="s">
        <v>275</v>
      </c>
      <c r="I242" s="4" t="s">
        <v>29</v>
      </c>
      <c r="J242" s="4" t="str" cm="1">
        <f t="array" ref="J242">_xlfn.IFS(K242&lt;30,"Young Adult",K242&lt;=50,"Adult",K242&gt;50,"Senior")</f>
        <v>Adult</v>
      </c>
      <c r="K242" s="4">
        <v>41</v>
      </c>
      <c r="L242" s="4" t="s">
        <v>8</v>
      </c>
      <c r="M242" s="4">
        <v>1</v>
      </c>
      <c r="N242" s="19">
        <v>25</v>
      </c>
      <c r="O242" s="15">
        <f>M242 * N242</f>
        <v>25</v>
      </c>
      <c r="P242" s="15">
        <f>O242*$S$3</f>
        <v>0.375</v>
      </c>
      <c r="Q242" s="15">
        <f>O242*$S$4</f>
        <v>0.5</v>
      </c>
    </row>
    <row r="243" spans="1:17">
      <c r="A243" s="2">
        <v>689</v>
      </c>
      <c r="B243" s="4">
        <f>DAY(G243)</f>
        <v>7</v>
      </c>
      <c r="C243" s="4">
        <f>MONTH(G243)</f>
        <v>10</v>
      </c>
      <c r="D243" s="4">
        <f>YEAR(G243)</f>
        <v>2023</v>
      </c>
      <c r="E243" s="4" t="str">
        <f>TEXT(G243,"dddd")</f>
        <v>Saturday</v>
      </c>
      <c r="F243" s="4" t="str">
        <f>TEXT(G243,"mmm")</f>
        <v>Oct</v>
      </c>
      <c r="G243" s="3">
        <v>45206</v>
      </c>
      <c r="H243" s="4" t="s">
        <v>276</v>
      </c>
      <c r="I243" s="4" t="s">
        <v>24</v>
      </c>
      <c r="J243" s="4" t="str" cm="1">
        <f t="array" ref="J243">_xlfn.IFS(K243&lt;30,"Young Adult",K243&lt;=50,"Adult",K243&gt;50,"Senior")</f>
        <v>Senior</v>
      </c>
      <c r="K243" s="4">
        <v>57</v>
      </c>
      <c r="L243" s="4" t="s">
        <v>9</v>
      </c>
      <c r="M243" s="4">
        <v>2</v>
      </c>
      <c r="N243" s="19">
        <v>50</v>
      </c>
      <c r="O243" s="15">
        <f>M243 * N243</f>
        <v>100</v>
      </c>
      <c r="P243" s="15">
        <f>O243*$S$3</f>
        <v>1.5</v>
      </c>
      <c r="Q243" s="15">
        <f>O243*$S$4</f>
        <v>2</v>
      </c>
    </row>
    <row r="244" spans="1:17">
      <c r="A244" s="2">
        <v>10</v>
      </c>
      <c r="B244" s="4">
        <f>DAY(G244)</f>
        <v>7</v>
      </c>
      <c r="C244" s="4">
        <f>MONTH(G244)</f>
        <v>10</v>
      </c>
      <c r="D244" s="4">
        <f>YEAR(G244)</f>
        <v>2023</v>
      </c>
      <c r="E244" s="4" t="str">
        <f>TEXT(G244,"dddd")</f>
        <v>Saturday</v>
      </c>
      <c r="F244" s="4" t="str">
        <f>TEXT(G244,"mmm")</f>
        <v>Oct</v>
      </c>
      <c r="G244" s="3">
        <v>45206</v>
      </c>
      <c r="H244" s="4" t="s">
        <v>277</v>
      </c>
      <c r="I244" s="4" t="s">
        <v>29</v>
      </c>
      <c r="J244" s="4" t="str" cm="1">
        <f t="array" ref="J244">_xlfn.IFS(K244&lt;30,"Young Adult",K244&lt;=50,"Adult",K244&gt;50,"Senior")</f>
        <v>Senior</v>
      </c>
      <c r="K244" s="4">
        <v>52</v>
      </c>
      <c r="L244" s="4" t="s">
        <v>8</v>
      </c>
      <c r="M244" s="4">
        <v>4</v>
      </c>
      <c r="N244" s="19">
        <v>50</v>
      </c>
      <c r="O244" s="15">
        <f>M244 * N244</f>
        <v>200</v>
      </c>
      <c r="P244" s="15">
        <f>O244*$S$3</f>
        <v>3</v>
      </c>
      <c r="Q244" s="15">
        <f>O244*$S$4</f>
        <v>4</v>
      </c>
    </row>
    <row r="245" spans="1:17">
      <c r="A245" s="2">
        <v>437</v>
      </c>
      <c r="B245" s="4">
        <f>DAY(G245)</f>
        <v>7</v>
      </c>
      <c r="C245" s="4">
        <f>MONTH(G245)</f>
        <v>10</v>
      </c>
      <c r="D245" s="4">
        <f>YEAR(G245)</f>
        <v>2023</v>
      </c>
      <c r="E245" s="4" t="str">
        <f>TEXT(G245,"dddd")</f>
        <v>Saturday</v>
      </c>
      <c r="F245" s="4" t="str">
        <f>TEXT(G245,"mmm")</f>
        <v>Oct</v>
      </c>
      <c r="G245" s="3">
        <v>45206</v>
      </c>
      <c r="H245" s="4" t="s">
        <v>278</v>
      </c>
      <c r="I245" s="4" t="s">
        <v>29</v>
      </c>
      <c r="J245" s="4" t="str" cm="1">
        <f t="array" ref="J245">_xlfn.IFS(K245&lt;30,"Young Adult",K245&lt;=50,"Adult",K245&gt;50,"Senior")</f>
        <v>Adult</v>
      </c>
      <c r="K245" s="4">
        <v>35</v>
      </c>
      <c r="L245" s="4" t="s">
        <v>9</v>
      </c>
      <c r="M245" s="4">
        <v>4</v>
      </c>
      <c r="N245" s="19">
        <v>300</v>
      </c>
      <c r="O245" s="15">
        <f>M245 * N245</f>
        <v>1200</v>
      </c>
      <c r="P245" s="15">
        <f>O245*$S$3</f>
        <v>18</v>
      </c>
      <c r="Q245" s="15">
        <f>O245*$S$4</f>
        <v>24</v>
      </c>
    </row>
    <row r="246" spans="1:17">
      <c r="A246" s="2">
        <v>26</v>
      </c>
      <c r="B246" s="4">
        <f>DAY(G246)</f>
        <v>7</v>
      </c>
      <c r="C246" s="4">
        <f>MONTH(G246)</f>
        <v>10</v>
      </c>
      <c r="D246" s="4">
        <f>YEAR(G246)</f>
        <v>2023</v>
      </c>
      <c r="E246" s="4" t="str">
        <f>TEXT(G246,"dddd")</f>
        <v>Saturday</v>
      </c>
      <c r="F246" s="4" t="str">
        <f>TEXT(G246,"mmm")</f>
        <v>Oct</v>
      </c>
      <c r="G246" s="3">
        <v>45206</v>
      </c>
      <c r="H246" s="4" t="s">
        <v>279</v>
      </c>
      <c r="I246" s="4" t="s">
        <v>29</v>
      </c>
      <c r="J246" s="4" t="str" cm="1">
        <f t="array" ref="J246">_xlfn.IFS(K246&lt;30,"Young Adult",K246&lt;=50,"Adult",K246&gt;50,"Senior")</f>
        <v>Young Adult</v>
      </c>
      <c r="K246" s="4">
        <v>28</v>
      </c>
      <c r="L246" s="4" t="s">
        <v>9</v>
      </c>
      <c r="M246" s="4">
        <v>2</v>
      </c>
      <c r="N246" s="19">
        <v>500</v>
      </c>
      <c r="O246" s="15">
        <f>M246 * N246</f>
        <v>1000</v>
      </c>
      <c r="P246" s="15">
        <f>O246*$S$3</f>
        <v>15</v>
      </c>
      <c r="Q246" s="15">
        <f>O246*$S$4</f>
        <v>20</v>
      </c>
    </row>
    <row r="247" spans="1:17">
      <c r="A247" s="2">
        <v>385</v>
      </c>
      <c r="B247" s="4">
        <f>DAY(G247)</f>
        <v>6</v>
      </c>
      <c r="C247" s="4">
        <f>MONTH(G247)</f>
        <v>10</v>
      </c>
      <c r="D247" s="4">
        <f>YEAR(G247)</f>
        <v>2023</v>
      </c>
      <c r="E247" s="4" t="str">
        <f>TEXT(G247,"dddd")</f>
        <v>Friday</v>
      </c>
      <c r="F247" s="4" t="str">
        <f>TEXT(G247,"mmm")</f>
        <v>Oct</v>
      </c>
      <c r="G247" s="3">
        <v>45205</v>
      </c>
      <c r="H247" s="4" t="s">
        <v>280</v>
      </c>
      <c r="I247" s="4" t="s">
        <v>24</v>
      </c>
      <c r="J247" s="4" t="str" cm="1">
        <f t="array" ref="J247">_xlfn.IFS(K247&lt;30,"Young Adult",K247&lt;=50,"Adult",K247&gt;50,"Senior")</f>
        <v>Adult</v>
      </c>
      <c r="K247" s="4">
        <v>50</v>
      </c>
      <c r="L247" s="4" t="s">
        <v>9</v>
      </c>
      <c r="M247" s="4">
        <v>3</v>
      </c>
      <c r="N247" s="19">
        <v>500</v>
      </c>
      <c r="O247" s="15">
        <f>M247 * N247</f>
        <v>1500</v>
      </c>
      <c r="P247" s="15">
        <f>O247*$S$3</f>
        <v>22.5</v>
      </c>
      <c r="Q247" s="15">
        <f>O247*$S$4</f>
        <v>30</v>
      </c>
    </row>
    <row r="248" spans="1:17">
      <c r="A248" s="2">
        <v>319</v>
      </c>
      <c r="B248" s="4">
        <f>DAY(G248)</f>
        <v>5</v>
      </c>
      <c r="C248" s="4">
        <f>MONTH(G248)</f>
        <v>10</v>
      </c>
      <c r="D248" s="4">
        <f>YEAR(G248)</f>
        <v>2023</v>
      </c>
      <c r="E248" s="4" t="str">
        <f>TEXT(G248,"dddd")</f>
        <v>Thursday</v>
      </c>
      <c r="F248" s="4" t="str">
        <f>TEXT(G248,"mmm")</f>
        <v>Oct</v>
      </c>
      <c r="G248" s="3">
        <v>45204</v>
      </c>
      <c r="H248" s="4" t="s">
        <v>281</v>
      </c>
      <c r="I248" s="4" t="s">
        <v>24</v>
      </c>
      <c r="J248" s="4" t="str" cm="1">
        <f t="array" ref="J248">_xlfn.IFS(K248&lt;30,"Young Adult",K248&lt;=50,"Adult",K248&gt;50,"Senior")</f>
        <v>Adult</v>
      </c>
      <c r="K248" s="4">
        <v>31</v>
      </c>
      <c r="L248" s="4" t="s">
        <v>8</v>
      </c>
      <c r="M248" s="4">
        <v>1</v>
      </c>
      <c r="N248" s="19">
        <v>500</v>
      </c>
      <c r="O248" s="15">
        <f>M248 * N248</f>
        <v>500</v>
      </c>
      <c r="P248" s="15">
        <f>O248*$S$3</f>
        <v>7.5</v>
      </c>
      <c r="Q248" s="15">
        <f>O248*$S$4</f>
        <v>10</v>
      </c>
    </row>
    <row r="249" spans="1:17">
      <c r="A249" s="2">
        <v>670</v>
      </c>
      <c r="B249" s="4">
        <f>DAY(G249)</f>
        <v>5</v>
      </c>
      <c r="C249" s="4">
        <f>MONTH(G249)</f>
        <v>10</v>
      </c>
      <c r="D249" s="4">
        <f>YEAR(G249)</f>
        <v>2023</v>
      </c>
      <c r="E249" s="4" t="str">
        <f>TEXT(G249,"dddd")</f>
        <v>Thursday</v>
      </c>
      <c r="F249" s="4" t="str">
        <f>TEXT(G249,"mmm")</f>
        <v>Oct</v>
      </c>
      <c r="G249" s="3">
        <v>45204</v>
      </c>
      <c r="H249" s="4" t="s">
        <v>282</v>
      </c>
      <c r="I249" s="4" t="s">
        <v>24</v>
      </c>
      <c r="J249" s="4" t="str" cm="1">
        <f t="array" ref="J249">_xlfn.IFS(K249&lt;30,"Young Adult",K249&lt;=50,"Adult",K249&gt;50,"Senior")</f>
        <v>Young Adult</v>
      </c>
      <c r="K249" s="4">
        <v>27</v>
      </c>
      <c r="L249" s="4" t="s">
        <v>7</v>
      </c>
      <c r="M249" s="4">
        <v>1</v>
      </c>
      <c r="N249" s="19">
        <v>30</v>
      </c>
      <c r="O249" s="15">
        <f>M249 * N249</f>
        <v>30</v>
      </c>
      <c r="P249" s="15">
        <f>O249*$S$3</f>
        <v>0.44999999999999996</v>
      </c>
      <c r="Q249" s="15">
        <f>O249*$S$4</f>
        <v>0.6</v>
      </c>
    </row>
    <row r="250" spans="1:17">
      <c r="A250" s="2">
        <v>735</v>
      </c>
      <c r="B250" s="4">
        <f>DAY(G250)</f>
        <v>4</v>
      </c>
      <c r="C250" s="4">
        <f>MONTH(G250)</f>
        <v>10</v>
      </c>
      <c r="D250" s="4">
        <f>YEAR(G250)</f>
        <v>2023</v>
      </c>
      <c r="E250" s="4" t="str">
        <f>TEXT(G250,"dddd")</f>
        <v>Wednesday</v>
      </c>
      <c r="F250" s="4" t="str">
        <f>TEXT(G250,"mmm")</f>
        <v>Oct</v>
      </c>
      <c r="G250" s="3">
        <v>45203</v>
      </c>
      <c r="H250" s="4" t="s">
        <v>283</v>
      </c>
      <c r="I250" s="4" t="s">
        <v>29</v>
      </c>
      <c r="J250" s="4" t="str" cm="1">
        <f t="array" ref="J250">_xlfn.IFS(K250&lt;30,"Young Adult",K250&lt;=50,"Adult",K250&gt;50,"Senior")</f>
        <v>Senior</v>
      </c>
      <c r="K250" s="4">
        <v>64</v>
      </c>
      <c r="L250" s="4" t="s">
        <v>8</v>
      </c>
      <c r="M250" s="4">
        <v>4</v>
      </c>
      <c r="N250" s="19">
        <v>500</v>
      </c>
      <c r="O250" s="15">
        <f>M250 * N250</f>
        <v>2000</v>
      </c>
      <c r="P250" s="15">
        <f>O250*$S$3</f>
        <v>30</v>
      </c>
      <c r="Q250" s="15">
        <f>O250*$S$4</f>
        <v>40</v>
      </c>
    </row>
    <row r="251" spans="1:17">
      <c r="A251" s="2">
        <v>247</v>
      </c>
      <c r="B251" s="4">
        <f>DAY(G251)</f>
        <v>4</v>
      </c>
      <c r="C251" s="4">
        <f>MONTH(G251)</f>
        <v>10</v>
      </c>
      <c r="D251" s="4">
        <f>YEAR(G251)</f>
        <v>2023</v>
      </c>
      <c r="E251" s="4" t="str">
        <f>TEXT(G251,"dddd")</f>
        <v>Wednesday</v>
      </c>
      <c r="F251" s="4" t="str">
        <f>TEXT(G251,"mmm")</f>
        <v>Oct</v>
      </c>
      <c r="G251" s="3">
        <v>45203</v>
      </c>
      <c r="H251" s="4" t="s">
        <v>284</v>
      </c>
      <c r="I251" s="4" t="s">
        <v>24</v>
      </c>
      <c r="J251" s="4" t="str" cm="1">
        <f t="array" ref="J251">_xlfn.IFS(K251&lt;30,"Young Adult",K251&lt;=50,"Adult",K251&gt;50,"Senior")</f>
        <v>Adult</v>
      </c>
      <c r="K251" s="4">
        <v>41</v>
      </c>
      <c r="L251" s="4" t="s">
        <v>9</v>
      </c>
      <c r="M251" s="4">
        <v>2</v>
      </c>
      <c r="N251" s="19">
        <v>30</v>
      </c>
      <c r="O251" s="15">
        <f>M251 * N251</f>
        <v>60</v>
      </c>
      <c r="P251" s="15">
        <f>O251*$S$3</f>
        <v>0.89999999999999991</v>
      </c>
      <c r="Q251" s="15">
        <f>O251*$S$4</f>
        <v>1.2</v>
      </c>
    </row>
    <row r="252" spans="1:17">
      <c r="A252" s="2">
        <v>178</v>
      </c>
      <c r="B252" s="4">
        <f>DAY(G252)</f>
        <v>4</v>
      </c>
      <c r="C252" s="4">
        <f>MONTH(G252)</f>
        <v>10</v>
      </c>
      <c r="D252" s="4">
        <f>YEAR(G252)</f>
        <v>2023</v>
      </c>
      <c r="E252" s="4" t="str">
        <f>TEXT(G252,"dddd")</f>
        <v>Wednesday</v>
      </c>
      <c r="F252" s="4" t="str">
        <f>TEXT(G252,"mmm")</f>
        <v>Oct</v>
      </c>
      <c r="G252" s="3">
        <v>45203</v>
      </c>
      <c r="H252" s="4" t="s">
        <v>285</v>
      </c>
      <c r="I252" s="4" t="s">
        <v>24</v>
      </c>
      <c r="J252" s="4" t="str" cm="1">
        <f t="array" ref="J252">_xlfn.IFS(K252&lt;30,"Young Adult",K252&lt;=50,"Adult",K252&gt;50,"Senior")</f>
        <v>Adult</v>
      </c>
      <c r="K252" s="4">
        <v>40</v>
      </c>
      <c r="L252" s="4" t="s">
        <v>8</v>
      </c>
      <c r="M252" s="4">
        <v>2</v>
      </c>
      <c r="N252" s="19">
        <v>30</v>
      </c>
      <c r="O252" s="15">
        <f>M252 * N252</f>
        <v>60</v>
      </c>
      <c r="P252" s="15">
        <f>O252*$S$3</f>
        <v>0.89999999999999991</v>
      </c>
      <c r="Q252" s="15">
        <f>O252*$S$4</f>
        <v>1.2</v>
      </c>
    </row>
    <row r="253" spans="1:17">
      <c r="A253" s="2">
        <v>208</v>
      </c>
      <c r="B253" s="4">
        <f>DAY(G253)</f>
        <v>4</v>
      </c>
      <c r="C253" s="4">
        <f>MONTH(G253)</f>
        <v>10</v>
      </c>
      <c r="D253" s="4">
        <f>YEAR(G253)</f>
        <v>2023</v>
      </c>
      <c r="E253" s="4" t="str">
        <f>TEXT(G253,"dddd")</f>
        <v>Wednesday</v>
      </c>
      <c r="F253" s="4" t="str">
        <f>TEXT(G253,"mmm")</f>
        <v>Oct</v>
      </c>
      <c r="G253" s="3">
        <v>45203</v>
      </c>
      <c r="H253" s="4" t="s">
        <v>286</v>
      </c>
      <c r="I253" s="4" t="s">
        <v>29</v>
      </c>
      <c r="J253" s="4" t="str" cm="1">
        <f t="array" ref="J253">_xlfn.IFS(K253&lt;30,"Young Adult",K253&lt;=50,"Adult",K253&gt;50,"Senior")</f>
        <v>Adult</v>
      </c>
      <c r="K253" s="4">
        <v>34</v>
      </c>
      <c r="L253" s="4" t="s">
        <v>9</v>
      </c>
      <c r="M253" s="4">
        <v>4</v>
      </c>
      <c r="N253" s="19">
        <v>50</v>
      </c>
      <c r="O253" s="15">
        <f>M253 * N253</f>
        <v>200</v>
      </c>
      <c r="P253" s="15">
        <f>O253*$S$3</f>
        <v>3</v>
      </c>
      <c r="Q253" s="15">
        <f>O253*$S$4</f>
        <v>4</v>
      </c>
    </row>
    <row r="254" spans="1:17">
      <c r="A254" s="2">
        <v>290</v>
      </c>
      <c r="B254" s="4">
        <f>DAY(G254)</f>
        <v>4</v>
      </c>
      <c r="C254" s="4">
        <f>MONTH(G254)</f>
        <v>10</v>
      </c>
      <c r="D254" s="4">
        <f>YEAR(G254)</f>
        <v>2023</v>
      </c>
      <c r="E254" s="4" t="str">
        <f>TEXT(G254,"dddd")</f>
        <v>Wednesday</v>
      </c>
      <c r="F254" s="4" t="str">
        <f>TEXT(G254,"mmm")</f>
        <v>Oct</v>
      </c>
      <c r="G254" s="3">
        <v>45203</v>
      </c>
      <c r="H254" s="4" t="s">
        <v>287</v>
      </c>
      <c r="I254" s="4" t="s">
        <v>29</v>
      </c>
      <c r="J254" s="4" t="str" cm="1">
        <f t="array" ref="J254">_xlfn.IFS(K254&lt;30,"Young Adult",K254&lt;=50,"Adult",K254&gt;50,"Senior")</f>
        <v>Adult</v>
      </c>
      <c r="K254" s="4">
        <v>30</v>
      </c>
      <c r="L254" s="4" t="s">
        <v>7</v>
      </c>
      <c r="M254" s="4">
        <v>2</v>
      </c>
      <c r="N254" s="19">
        <v>300</v>
      </c>
      <c r="O254" s="15">
        <f>M254 * N254</f>
        <v>600</v>
      </c>
      <c r="P254" s="15">
        <f>O254*$S$3</f>
        <v>9</v>
      </c>
      <c r="Q254" s="15">
        <f>O254*$S$4</f>
        <v>12</v>
      </c>
    </row>
    <row r="255" spans="1:17">
      <c r="A255" s="2">
        <v>656</v>
      </c>
      <c r="B255" s="4">
        <f>DAY(G255)</f>
        <v>4</v>
      </c>
      <c r="C255" s="4">
        <f>MONTH(G255)</f>
        <v>10</v>
      </c>
      <c r="D255" s="4">
        <f>YEAR(G255)</f>
        <v>2023</v>
      </c>
      <c r="E255" s="4" t="str">
        <f>TEXT(G255,"dddd")</f>
        <v>Wednesday</v>
      </c>
      <c r="F255" s="4" t="str">
        <f>TEXT(G255,"mmm")</f>
        <v>Oct</v>
      </c>
      <c r="G255" s="3">
        <v>45203</v>
      </c>
      <c r="H255" s="4" t="s">
        <v>288</v>
      </c>
      <c r="I255" s="4" t="s">
        <v>24</v>
      </c>
      <c r="J255" s="4" t="str" cm="1">
        <f t="array" ref="J255">_xlfn.IFS(K255&lt;30,"Young Adult",K255&lt;=50,"Adult",K255&gt;50,"Senior")</f>
        <v>Young Adult</v>
      </c>
      <c r="K255" s="4">
        <v>29</v>
      </c>
      <c r="L255" s="4" t="s">
        <v>7</v>
      </c>
      <c r="M255" s="4">
        <v>3</v>
      </c>
      <c r="N255" s="19">
        <v>30</v>
      </c>
      <c r="O255" s="15">
        <f>M255 * N255</f>
        <v>90</v>
      </c>
      <c r="P255" s="15">
        <f>O255*$S$3</f>
        <v>1.3499999999999999</v>
      </c>
      <c r="Q255" s="15">
        <f>O255*$S$4</f>
        <v>1.8</v>
      </c>
    </row>
    <row r="256" spans="1:17">
      <c r="A256" s="2">
        <v>122</v>
      </c>
      <c r="B256" s="4">
        <f>DAY(G256)</f>
        <v>3</v>
      </c>
      <c r="C256" s="4">
        <f>MONTH(G256)</f>
        <v>10</v>
      </c>
      <c r="D256" s="4">
        <f>YEAR(G256)</f>
        <v>2023</v>
      </c>
      <c r="E256" s="4" t="str">
        <f>TEXT(G256,"dddd")</f>
        <v>Tuesday</v>
      </c>
      <c r="F256" s="4" t="str">
        <f>TEXT(G256,"mmm")</f>
        <v>Oct</v>
      </c>
      <c r="G256" s="3">
        <v>45202</v>
      </c>
      <c r="H256" s="4" t="s">
        <v>289</v>
      </c>
      <c r="I256" s="4" t="s">
        <v>24</v>
      </c>
      <c r="J256" s="4" t="str" cm="1">
        <f t="array" ref="J256">_xlfn.IFS(K256&lt;30,"Young Adult",K256&lt;=50,"Adult",K256&gt;50,"Senior")</f>
        <v>Senior</v>
      </c>
      <c r="K256" s="4">
        <v>64</v>
      </c>
      <c r="L256" s="4" t="s">
        <v>9</v>
      </c>
      <c r="M256" s="4">
        <v>4</v>
      </c>
      <c r="N256" s="19">
        <v>30</v>
      </c>
      <c r="O256" s="15">
        <f>M256 * N256</f>
        <v>120</v>
      </c>
      <c r="P256" s="15">
        <f>O256*$S$3</f>
        <v>1.7999999999999998</v>
      </c>
      <c r="Q256" s="15">
        <f>O256*$S$4</f>
        <v>2.4</v>
      </c>
    </row>
    <row r="257" spans="1:17">
      <c r="A257" s="2">
        <v>688</v>
      </c>
      <c r="B257" s="4">
        <f>DAY(G257)</f>
        <v>3</v>
      </c>
      <c r="C257" s="4">
        <f>MONTH(G257)</f>
        <v>10</v>
      </c>
      <c r="D257" s="4">
        <f>YEAR(G257)</f>
        <v>2023</v>
      </c>
      <c r="E257" s="4" t="str">
        <f>TEXT(G257,"dddd")</f>
        <v>Tuesday</v>
      </c>
      <c r="F257" s="4" t="str">
        <f>TEXT(G257,"mmm")</f>
        <v>Oct</v>
      </c>
      <c r="G257" s="3">
        <v>45202</v>
      </c>
      <c r="H257" s="4" t="s">
        <v>290</v>
      </c>
      <c r="I257" s="4" t="s">
        <v>24</v>
      </c>
      <c r="J257" s="4" t="str" cm="1">
        <f t="array" ref="J257">_xlfn.IFS(K257&lt;30,"Young Adult",K257&lt;=50,"Adult",K257&gt;50,"Senior")</f>
        <v>Senior</v>
      </c>
      <c r="K257" s="4">
        <v>56</v>
      </c>
      <c r="L257" s="4" t="s">
        <v>8</v>
      </c>
      <c r="M257" s="4">
        <v>4</v>
      </c>
      <c r="N257" s="19">
        <v>25</v>
      </c>
      <c r="O257" s="15">
        <f>M257 * N257</f>
        <v>100</v>
      </c>
      <c r="P257" s="15">
        <f>O257*$S$3</f>
        <v>1.5</v>
      </c>
      <c r="Q257" s="15">
        <f>O257*$S$4</f>
        <v>2</v>
      </c>
    </row>
    <row r="258" spans="1:17">
      <c r="A258" s="2">
        <v>813</v>
      </c>
      <c r="B258" s="4">
        <f>DAY(G258)</f>
        <v>3</v>
      </c>
      <c r="C258" s="4">
        <f>MONTH(G258)</f>
        <v>10</v>
      </c>
      <c r="D258" s="4">
        <f>YEAR(G258)</f>
        <v>2023</v>
      </c>
      <c r="E258" s="4" t="str">
        <f>TEXT(G258,"dddd")</f>
        <v>Tuesday</v>
      </c>
      <c r="F258" s="4" t="str">
        <f>TEXT(G258,"mmm")</f>
        <v>Oct</v>
      </c>
      <c r="G258" s="3">
        <v>45202</v>
      </c>
      <c r="H258" s="4" t="s">
        <v>291</v>
      </c>
      <c r="I258" s="4" t="s">
        <v>24</v>
      </c>
      <c r="J258" s="4" t="str" cm="1">
        <f t="array" ref="J258">_xlfn.IFS(K258&lt;30,"Young Adult",K258&lt;=50,"Adult",K258&gt;50,"Senior")</f>
        <v>Senior</v>
      </c>
      <c r="K258" s="4">
        <v>52</v>
      </c>
      <c r="L258" s="4" t="s">
        <v>9</v>
      </c>
      <c r="M258" s="4">
        <v>3</v>
      </c>
      <c r="N258" s="19">
        <v>50</v>
      </c>
      <c r="O258" s="15">
        <f>M258 * N258</f>
        <v>150</v>
      </c>
      <c r="P258" s="15">
        <f>O258*$S$3</f>
        <v>2.25</v>
      </c>
      <c r="Q258" s="15">
        <f>O258*$S$4</f>
        <v>3</v>
      </c>
    </row>
    <row r="259" spans="1:17">
      <c r="A259" s="2">
        <v>524</v>
      </c>
      <c r="B259" s="4">
        <f>DAY(G259)</f>
        <v>3</v>
      </c>
      <c r="C259" s="4">
        <f>MONTH(G259)</f>
        <v>10</v>
      </c>
      <c r="D259" s="4">
        <f>YEAR(G259)</f>
        <v>2023</v>
      </c>
      <c r="E259" s="4" t="str">
        <f>TEXT(G259,"dddd")</f>
        <v>Tuesday</v>
      </c>
      <c r="F259" s="4" t="str">
        <f>TEXT(G259,"mmm")</f>
        <v>Oct</v>
      </c>
      <c r="G259" s="3">
        <v>45202</v>
      </c>
      <c r="H259" s="4" t="s">
        <v>292</v>
      </c>
      <c r="I259" s="4" t="s">
        <v>24</v>
      </c>
      <c r="J259" s="4" t="str" cm="1">
        <f t="array" ref="J259">_xlfn.IFS(K259&lt;30,"Young Adult",K259&lt;=50,"Adult",K259&gt;50,"Senior")</f>
        <v>Adult</v>
      </c>
      <c r="K259" s="4">
        <v>46</v>
      </c>
      <c r="L259" s="4" t="s">
        <v>7</v>
      </c>
      <c r="M259" s="4">
        <v>4</v>
      </c>
      <c r="N259" s="19">
        <v>300</v>
      </c>
      <c r="O259" s="15">
        <f>M259 * N259</f>
        <v>1200</v>
      </c>
      <c r="P259" s="15">
        <f>O259*$S$3</f>
        <v>18</v>
      </c>
      <c r="Q259" s="15">
        <f>O259*$S$4</f>
        <v>24</v>
      </c>
    </row>
    <row r="260" spans="1:17">
      <c r="A260" s="2">
        <v>373</v>
      </c>
      <c r="B260" s="4">
        <f>DAY(G260)</f>
        <v>3</v>
      </c>
      <c r="C260" s="4">
        <f>MONTH(G260)</f>
        <v>10</v>
      </c>
      <c r="D260" s="4">
        <f>YEAR(G260)</f>
        <v>2023</v>
      </c>
      <c r="E260" s="4" t="str">
        <f>TEXT(G260,"dddd")</f>
        <v>Tuesday</v>
      </c>
      <c r="F260" s="4" t="str">
        <f>TEXT(G260,"mmm")</f>
        <v>Oct</v>
      </c>
      <c r="G260" s="3">
        <v>45202</v>
      </c>
      <c r="H260" s="4" t="s">
        <v>293</v>
      </c>
      <c r="I260" s="4" t="s">
        <v>29</v>
      </c>
      <c r="J260" s="4" t="str" cm="1">
        <f t="array" ref="J260">_xlfn.IFS(K260&lt;30,"Young Adult",K260&lt;=50,"Adult",K260&gt;50,"Senior")</f>
        <v>Young Adult</v>
      </c>
      <c r="K260" s="4">
        <v>25</v>
      </c>
      <c r="L260" s="4" t="s">
        <v>7</v>
      </c>
      <c r="M260" s="4">
        <v>2</v>
      </c>
      <c r="N260" s="19">
        <v>300</v>
      </c>
      <c r="O260" s="15">
        <f>M260 * N260</f>
        <v>600</v>
      </c>
      <c r="P260" s="15">
        <f>O260*$S$3</f>
        <v>9</v>
      </c>
      <c r="Q260" s="15">
        <f>O260*$S$4</f>
        <v>12</v>
      </c>
    </row>
    <row r="261" spans="1:17">
      <c r="A261" s="2">
        <v>154</v>
      </c>
      <c r="B261" s="4">
        <f>DAY(G261)</f>
        <v>2</v>
      </c>
      <c r="C261" s="4">
        <f>MONTH(G261)</f>
        <v>10</v>
      </c>
      <c r="D261" s="4">
        <f>YEAR(G261)</f>
        <v>2023</v>
      </c>
      <c r="E261" s="4" t="str">
        <f>TEXT(G261,"dddd")</f>
        <v>Monday</v>
      </c>
      <c r="F261" s="4" t="str">
        <f>TEXT(G261,"mmm")</f>
        <v>Oct</v>
      </c>
      <c r="G261" s="3">
        <v>45201</v>
      </c>
      <c r="H261" s="4" t="s">
        <v>294</v>
      </c>
      <c r="I261" s="4" t="s">
        <v>24</v>
      </c>
      <c r="J261" s="4" t="str" cm="1">
        <f t="array" ref="J261">_xlfn.IFS(K261&lt;30,"Young Adult",K261&lt;=50,"Adult",K261&gt;50,"Senior")</f>
        <v>Senior</v>
      </c>
      <c r="K261" s="4">
        <v>51</v>
      </c>
      <c r="L261" s="4" t="s">
        <v>9</v>
      </c>
      <c r="M261" s="4">
        <v>3</v>
      </c>
      <c r="N261" s="19">
        <v>300</v>
      </c>
      <c r="O261" s="15">
        <f>M261 * N261</f>
        <v>900</v>
      </c>
      <c r="P261" s="15">
        <f>O261*$S$3</f>
        <v>13.5</v>
      </c>
      <c r="Q261" s="15">
        <f>O261*$S$4</f>
        <v>18</v>
      </c>
    </row>
    <row r="262" spans="1:17">
      <c r="A262" s="2">
        <v>497</v>
      </c>
      <c r="B262" s="4">
        <f>DAY(G262)</f>
        <v>2</v>
      </c>
      <c r="C262" s="4">
        <f>MONTH(G262)</f>
        <v>10</v>
      </c>
      <c r="D262" s="4">
        <f>YEAR(G262)</f>
        <v>2023</v>
      </c>
      <c r="E262" s="4" t="str">
        <f>TEXT(G262,"dddd")</f>
        <v>Monday</v>
      </c>
      <c r="F262" s="4" t="str">
        <f>TEXT(G262,"mmm")</f>
        <v>Oct</v>
      </c>
      <c r="G262" s="3">
        <v>45201</v>
      </c>
      <c r="H262" s="4" t="s">
        <v>295</v>
      </c>
      <c r="I262" s="4" t="s">
        <v>24</v>
      </c>
      <c r="J262" s="4" t="str" cm="1">
        <f t="array" ref="J262">_xlfn.IFS(K262&lt;30,"Young Adult",K262&lt;=50,"Adult",K262&gt;50,"Senior")</f>
        <v>Adult</v>
      </c>
      <c r="K262" s="4">
        <v>41</v>
      </c>
      <c r="L262" s="4" t="s">
        <v>8</v>
      </c>
      <c r="M262" s="4">
        <v>4</v>
      </c>
      <c r="N262" s="19">
        <v>30</v>
      </c>
      <c r="O262" s="15">
        <f>M262 * N262</f>
        <v>120</v>
      </c>
      <c r="P262" s="15">
        <f>O262*$S$3</f>
        <v>1.7999999999999998</v>
      </c>
      <c r="Q262" s="15">
        <f>O262*$S$4</f>
        <v>2.4</v>
      </c>
    </row>
    <row r="263" spans="1:17">
      <c r="A263" s="2">
        <v>889</v>
      </c>
      <c r="B263" s="4">
        <f>DAY(G263)</f>
        <v>2</v>
      </c>
      <c r="C263" s="4">
        <f>MONTH(G263)</f>
        <v>10</v>
      </c>
      <c r="D263" s="4">
        <f>YEAR(G263)</f>
        <v>2023</v>
      </c>
      <c r="E263" s="4" t="str">
        <f>TEXT(G263,"dddd")</f>
        <v>Monday</v>
      </c>
      <c r="F263" s="4" t="str">
        <f>TEXT(G263,"mmm")</f>
        <v>Oct</v>
      </c>
      <c r="G263" s="3">
        <v>45201</v>
      </c>
      <c r="H263" s="4" t="s">
        <v>296</v>
      </c>
      <c r="I263" s="4" t="s">
        <v>29</v>
      </c>
      <c r="J263" s="4" t="str" cm="1">
        <f t="array" ref="J263">_xlfn.IFS(K263&lt;30,"Young Adult",K263&lt;=50,"Adult",K263&gt;50,"Senior")</f>
        <v>Adult</v>
      </c>
      <c r="K263" s="4">
        <v>35</v>
      </c>
      <c r="L263" s="4" t="s">
        <v>9</v>
      </c>
      <c r="M263" s="4">
        <v>1</v>
      </c>
      <c r="N263" s="19">
        <v>50</v>
      </c>
      <c r="O263" s="15">
        <f>M263 * N263</f>
        <v>50</v>
      </c>
      <c r="P263" s="15">
        <f>O263*$S$3</f>
        <v>0.75</v>
      </c>
      <c r="Q263" s="15">
        <f>O263*$S$4</f>
        <v>1</v>
      </c>
    </row>
    <row r="264" spans="1:17">
      <c r="A264" s="2">
        <v>51</v>
      </c>
      <c r="B264" s="4">
        <f>DAY(G264)</f>
        <v>2</v>
      </c>
      <c r="C264" s="4">
        <f>MONTH(G264)</f>
        <v>10</v>
      </c>
      <c r="D264" s="4">
        <f>YEAR(G264)</f>
        <v>2023</v>
      </c>
      <c r="E264" s="4" t="str">
        <f>TEXT(G264,"dddd")</f>
        <v>Monday</v>
      </c>
      <c r="F264" s="4" t="str">
        <f>TEXT(G264,"mmm")</f>
        <v>Oct</v>
      </c>
      <c r="G264" s="3">
        <v>45201</v>
      </c>
      <c r="H264" s="4" t="s">
        <v>297</v>
      </c>
      <c r="I264" s="4" t="s">
        <v>24</v>
      </c>
      <c r="J264" s="4" t="str" cm="1">
        <f t="array" ref="J264">_xlfn.IFS(K264&lt;30,"Young Adult",K264&lt;=50,"Adult",K264&gt;50,"Senior")</f>
        <v>Young Adult</v>
      </c>
      <c r="K264" s="4">
        <v>27</v>
      </c>
      <c r="L264" s="4" t="s">
        <v>7</v>
      </c>
      <c r="M264" s="4">
        <v>3</v>
      </c>
      <c r="N264" s="19">
        <v>25</v>
      </c>
      <c r="O264" s="15">
        <f>M264 * N264</f>
        <v>75</v>
      </c>
      <c r="P264" s="15">
        <f>O264*$S$3</f>
        <v>1.125</v>
      </c>
      <c r="Q264" s="15">
        <f>O264*$S$4</f>
        <v>1.5</v>
      </c>
    </row>
    <row r="265" spans="1:17">
      <c r="A265" s="2">
        <v>276</v>
      </c>
      <c r="B265" s="4">
        <f>DAY(G265)</f>
        <v>2</v>
      </c>
      <c r="C265" s="4">
        <f>MONTH(G265)</f>
        <v>10</v>
      </c>
      <c r="D265" s="4">
        <f>YEAR(G265)</f>
        <v>2023</v>
      </c>
      <c r="E265" s="4" t="str">
        <f>TEXT(G265,"dddd")</f>
        <v>Monday</v>
      </c>
      <c r="F265" s="4" t="str">
        <f>TEXT(G265,"mmm")</f>
        <v>Oct</v>
      </c>
      <c r="G265" s="3">
        <v>45201</v>
      </c>
      <c r="H265" s="4" t="s">
        <v>298</v>
      </c>
      <c r="I265" s="4" t="s">
        <v>29</v>
      </c>
      <c r="J265" s="4" t="str" cm="1">
        <f t="array" ref="J265">_xlfn.IFS(K265&lt;30,"Young Adult",K265&lt;=50,"Adult",K265&gt;50,"Senior")</f>
        <v>Young Adult</v>
      </c>
      <c r="K265" s="4">
        <v>21</v>
      </c>
      <c r="L265" s="4" t="s">
        <v>7</v>
      </c>
      <c r="M265" s="4">
        <v>4</v>
      </c>
      <c r="N265" s="19">
        <v>25</v>
      </c>
      <c r="O265" s="15">
        <f>M265 * N265</f>
        <v>100</v>
      </c>
      <c r="P265" s="15">
        <f>O265*$S$3</f>
        <v>1.5</v>
      </c>
      <c r="Q265" s="15">
        <f>O265*$S$4</f>
        <v>2</v>
      </c>
    </row>
    <row r="266" spans="1:17">
      <c r="A266" s="2">
        <v>89</v>
      </c>
      <c r="B266" s="4">
        <f>DAY(G266)</f>
        <v>1</v>
      </c>
      <c r="C266" s="4">
        <f>MONTH(G266)</f>
        <v>10</v>
      </c>
      <c r="D266" s="4">
        <f>YEAR(G266)</f>
        <v>2023</v>
      </c>
      <c r="E266" s="4" t="str">
        <f>TEXT(G266,"dddd")</f>
        <v>Sunday</v>
      </c>
      <c r="F266" s="4" t="str">
        <f>TEXT(G266,"mmm")</f>
        <v>Oct</v>
      </c>
      <c r="G266" s="3">
        <v>45200</v>
      </c>
      <c r="H266" s="4" t="s">
        <v>299</v>
      </c>
      <c r="I266" s="4" t="s">
        <v>29</v>
      </c>
      <c r="J266" s="4" t="str" cm="1">
        <f t="array" ref="J266">_xlfn.IFS(K266&lt;30,"Young Adult",K266&lt;=50,"Adult",K266&gt;50,"Senior")</f>
        <v>Senior</v>
      </c>
      <c r="K266" s="4">
        <v>55</v>
      </c>
      <c r="L266" s="4" t="s">
        <v>9</v>
      </c>
      <c r="M266" s="4">
        <v>4</v>
      </c>
      <c r="N266" s="19">
        <v>500</v>
      </c>
      <c r="O266" s="15">
        <f>M266 * N266</f>
        <v>2000</v>
      </c>
      <c r="P266" s="15">
        <f>O266*$S$3</f>
        <v>30</v>
      </c>
      <c r="Q266" s="15">
        <f>O266*$S$4</f>
        <v>40</v>
      </c>
    </row>
    <row r="267" spans="1:17">
      <c r="A267" s="2">
        <v>707</v>
      </c>
      <c r="B267" s="4">
        <f>DAY(G267)</f>
        <v>1</v>
      </c>
      <c r="C267" s="4">
        <f>MONTH(G267)</f>
        <v>10</v>
      </c>
      <c r="D267" s="4">
        <f>YEAR(G267)</f>
        <v>2023</v>
      </c>
      <c r="E267" s="4" t="str">
        <f>TEXT(G267,"dddd")</f>
        <v>Sunday</v>
      </c>
      <c r="F267" s="4" t="str">
        <f>TEXT(G267,"mmm")</f>
        <v>Oct</v>
      </c>
      <c r="G267" s="3">
        <v>45200</v>
      </c>
      <c r="H267" s="4" t="s">
        <v>300</v>
      </c>
      <c r="I267" s="4" t="s">
        <v>29</v>
      </c>
      <c r="J267" s="4" t="str" cm="1">
        <f t="array" ref="J267">_xlfn.IFS(K267&lt;30,"Young Adult",K267&lt;=50,"Adult",K267&gt;50,"Senior")</f>
        <v>Young Adult</v>
      </c>
      <c r="K267" s="4">
        <v>26</v>
      </c>
      <c r="L267" s="4" t="s">
        <v>8</v>
      </c>
      <c r="M267" s="4">
        <v>1</v>
      </c>
      <c r="N267" s="19">
        <v>500</v>
      </c>
      <c r="O267" s="15">
        <f>M267 * N267</f>
        <v>500</v>
      </c>
      <c r="P267" s="15">
        <f>O267*$S$3</f>
        <v>7.5</v>
      </c>
      <c r="Q267" s="15">
        <f>O267*$S$4</f>
        <v>10</v>
      </c>
    </row>
    <row r="268" spans="1:17">
      <c r="A268" s="2">
        <v>909</v>
      </c>
      <c r="B268" s="4">
        <f>DAY(G268)</f>
        <v>1</v>
      </c>
      <c r="C268" s="4">
        <f>MONTH(G268)</f>
        <v>10</v>
      </c>
      <c r="D268" s="4">
        <f>YEAR(G268)</f>
        <v>2023</v>
      </c>
      <c r="E268" s="4" t="str">
        <f>TEXT(G268,"dddd")</f>
        <v>Sunday</v>
      </c>
      <c r="F268" s="4" t="str">
        <f>TEXT(G268,"mmm")</f>
        <v>Oct</v>
      </c>
      <c r="G268" s="3">
        <v>45200</v>
      </c>
      <c r="H268" s="4" t="s">
        <v>301</v>
      </c>
      <c r="I268" s="4" t="s">
        <v>24</v>
      </c>
      <c r="J268" s="4" t="str" cm="1">
        <f t="array" ref="J268">_xlfn.IFS(K268&lt;30,"Young Adult",K268&lt;=50,"Adult",K268&gt;50,"Senior")</f>
        <v>Young Adult</v>
      </c>
      <c r="K268" s="4">
        <v>26</v>
      </c>
      <c r="L268" s="4" t="s">
        <v>9</v>
      </c>
      <c r="M268" s="4">
        <v>1</v>
      </c>
      <c r="N268" s="19">
        <v>300</v>
      </c>
      <c r="O268" s="15">
        <f>M268 * N268</f>
        <v>300</v>
      </c>
      <c r="P268" s="15">
        <f>O268*$S$3</f>
        <v>4.5</v>
      </c>
      <c r="Q268" s="15">
        <f>O268*$S$4</f>
        <v>6</v>
      </c>
    </row>
    <row r="269" spans="1:17">
      <c r="A269" s="2">
        <v>789</v>
      </c>
      <c r="B269" s="4">
        <f>DAY(G269)</f>
        <v>30</v>
      </c>
      <c r="C269" s="4">
        <f>MONTH(G269)</f>
        <v>9</v>
      </c>
      <c r="D269" s="4">
        <f>YEAR(G269)</f>
        <v>2023</v>
      </c>
      <c r="E269" s="4" t="str">
        <f>TEXT(G269,"dddd")</f>
        <v>Saturday</v>
      </c>
      <c r="F269" s="4" t="str">
        <f>TEXT(G269,"mmm")</f>
        <v>Sep</v>
      </c>
      <c r="G269" s="3">
        <v>45199</v>
      </c>
      <c r="H269" s="4" t="s">
        <v>302</v>
      </c>
      <c r="I269" s="4" t="s">
        <v>29</v>
      </c>
      <c r="J269" s="4" t="str" cm="1">
        <f t="array" ref="J269">_xlfn.IFS(K269&lt;30,"Young Adult",K269&lt;=50,"Adult",K269&gt;50,"Senior")</f>
        <v>Senior</v>
      </c>
      <c r="K269" s="4">
        <v>61</v>
      </c>
      <c r="L269" s="4" t="s">
        <v>8</v>
      </c>
      <c r="M269" s="4">
        <v>4</v>
      </c>
      <c r="N269" s="19">
        <v>500</v>
      </c>
      <c r="O269" s="15">
        <f>M269 * N269</f>
        <v>2000</v>
      </c>
      <c r="P269" s="15">
        <f>O269*$S$3</f>
        <v>30</v>
      </c>
      <c r="Q269" s="15">
        <f>O269*$S$4</f>
        <v>40</v>
      </c>
    </row>
    <row r="270" spans="1:17">
      <c r="A270" s="2">
        <v>196</v>
      </c>
      <c r="B270" s="4">
        <f>DAY(G270)</f>
        <v>30</v>
      </c>
      <c r="C270" s="4">
        <f>MONTH(G270)</f>
        <v>9</v>
      </c>
      <c r="D270" s="4">
        <f>YEAR(G270)</f>
        <v>2023</v>
      </c>
      <c r="E270" s="4" t="str">
        <f>TEXT(G270,"dddd")</f>
        <v>Saturday</v>
      </c>
      <c r="F270" s="4" t="str">
        <f>TEXT(G270,"mmm")</f>
        <v>Sep</v>
      </c>
      <c r="G270" s="3">
        <v>45199</v>
      </c>
      <c r="H270" s="4" t="s">
        <v>303</v>
      </c>
      <c r="I270" s="4" t="s">
        <v>29</v>
      </c>
      <c r="J270" s="4" t="str" cm="1">
        <f t="array" ref="J270">_xlfn.IFS(K270&lt;30,"Young Adult",K270&lt;=50,"Adult",K270&gt;50,"Senior")</f>
        <v>Adult</v>
      </c>
      <c r="K270" s="4">
        <v>32</v>
      </c>
      <c r="L270" s="4" t="s">
        <v>8</v>
      </c>
      <c r="M270" s="4">
        <v>3</v>
      </c>
      <c r="N270" s="19">
        <v>300</v>
      </c>
      <c r="O270" s="15">
        <f>M270 * N270</f>
        <v>900</v>
      </c>
      <c r="P270" s="15">
        <f>O270*$S$3</f>
        <v>13.5</v>
      </c>
      <c r="Q270" s="15">
        <f>O270*$S$4</f>
        <v>18</v>
      </c>
    </row>
    <row r="271" spans="1:17">
      <c r="A271" s="2">
        <v>327</v>
      </c>
      <c r="B271" s="4">
        <f>DAY(G271)</f>
        <v>29</v>
      </c>
      <c r="C271" s="4">
        <f>MONTH(G271)</f>
        <v>9</v>
      </c>
      <c r="D271" s="4">
        <f>YEAR(G271)</f>
        <v>2023</v>
      </c>
      <c r="E271" s="4" t="str">
        <f>TEXT(G271,"dddd")</f>
        <v>Friday</v>
      </c>
      <c r="F271" s="4" t="str">
        <f>TEXT(G271,"mmm")</f>
        <v>Sep</v>
      </c>
      <c r="G271" s="3">
        <v>45198</v>
      </c>
      <c r="H271" s="4" t="s">
        <v>304</v>
      </c>
      <c r="I271" s="4" t="s">
        <v>24</v>
      </c>
      <c r="J271" s="4" t="str" cm="1">
        <f t="array" ref="J271">_xlfn.IFS(K271&lt;30,"Young Adult",K271&lt;=50,"Adult",K271&gt;50,"Senior")</f>
        <v>Senior</v>
      </c>
      <c r="K271" s="4">
        <v>57</v>
      </c>
      <c r="L271" s="4" t="s">
        <v>9</v>
      </c>
      <c r="M271" s="4">
        <v>3</v>
      </c>
      <c r="N271" s="19">
        <v>50</v>
      </c>
      <c r="O271" s="15">
        <f>M271 * N271</f>
        <v>150</v>
      </c>
      <c r="P271" s="15">
        <f>O271*$S$3</f>
        <v>2.25</v>
      </c>
      <c r="Q271" s="15">
        <f>O271*$S$4</f>
        <v>3</v>
      </c>
    </row>
    <row r="272" spans="1:17">
      <c r="A272" s="2">
        <v>179</v>
      </c>
      <c r="B272" s="4">
        <f>DAY(G272)</f>
        <v>29</v>
      </c>
      <c r="C272" s="4">
        <f>MONTH(G272)</f>
        <v>9</v>
      </c>
      <c r="D272" s="4">
        <f>YEAR(G272)</f>
        <v>2023</v>
      </c>
      <c r="E272" s="4" t="str">
        <f>TEXT(G272,"dddd")</f>
        <v>Friday</v>
      </c>
      <c r="F272" s="4" t="str">
        <f>TEXT(G272,"mmm")</f>
        <v>Sep</v>
      </c>
      <c r="G272" s="3">
        <v>45198</v>
      </c>
      <c r="H272" s="4" t="s">
        <v>305</v>
      </c>
      <c r="I272" s="4" t="s">
        <v>24</v>
      </c>
      <c r="J272" s="4" t="str" cm="1">
        <f t="array" ref="J272">_xlfn.IFS(K272&lt;30,"Young Adult",K272&lt;=50,"Adult",K272&gt;50,"Senior")</f>
        <v>Adult</v>
      </c>
      <c r="K272" s="4">
        <v>31</v>
      </c>
      <c r="L272" s="4" t="s">
        <v>9</v>
      </c>
      <c r="M272" s="4">
        <v>1</v>
      </c>
      <c r="N272" s="19">
        <v>300</v>
      </c>
      <c r="O272" s="15">
        <f>M272 * N272</f>
        <v>300</v>
      </c>
      <c r="P272" s="15">
        <f>O272*$S$3</f>
        <v>4.5</v>
      </c>
      <c r="Q272" s="15">
        <f>O272*$S$4</f>
        <v>6</v>
      </c>
    </row>
    <row r="273" spans="1:17">
      <c r="A273" s="2">
        <v>873</v>
      </c>
      <c r="B273" s="4">
        <f>DAY(G273)</f>
        <v>29</v>
      </c>
      <c r="C273" s="4">
        <f>MONTH(G273)</f>
        <v>9</v>
      </c>
      <c r="D273" s="4">
        <f>YEAR(G273)</f>
        <v>2023</v>
      </c>
      <c r="E273" s="4" t="str">
        <f>TEXT(G273,"dddd")</f>
        <v>Friday</v>
      </c>
      <c r="F273" s="4" t="str">
        <f>TEXT(G273,"mmm")</f>
        <v>Sep</v>
      </c>
      <c r="G273" s="3">
        <v>45198</v>
      </c>
      <c r="H273" s="4" t="s">
        <v>306</v>
      </c>
      <c r="I273" s="4" t="s">
        <v>29</v>
      </c>
      <c r="J273" s="4" t="str" cm="1">
        <f t="array" ref="J273">_xlfn.IFS(K273&lt;30,"Young Adult",K273&lt;=50,"Adult",K273&gt;50,"Senior")</f>
        <v>Young Adult</v>
      </c>
      <c r="K273" s="4">
        <v>27</v>
      </c>
      <c r="L273" s="4" t="s">
        <v>9</v>
      </c>
      <c r="M273" s="4">
        <v>4</v>
      </c>
      <c r="N273" s="19">
        <v>25</v>
      </c>
      <c r="O273" s="15">
        <f>M273 * N273</f>
        <v>100</v>
      </c>
      <c r="P273" s="15">
        <f>O273*$S$3</f>
        <v>1.5</v>
      </c>
      <c r="Q273" s="15">
        <f>O273*$S$4</f>
        <v>2</v>
      </c>
    </row>
    <row r="274" spans="1:17">
      <c r="A274" s="2">
        <v>626</v>
      </c>
      <c r="B274" s="4">
        <f>DAY(G274)</f>
        <v>29</v>
      </c>
      <c r="C274" s="4">
        <f>MONTH(G274)</f>
        <v>9</v>
      </c>
      <c r="D274" s="4">
        <f>YEAR(G274)</f>
        <v>2023</v>
      </c>
      <c r="E274" s="4" t="str">
        <f>TEXT(G274,"dddd")</f>
        <v>Friday</v>
      </c>
      <c r="F274" s="4" t="str">
        <f>TEXT(G274,"mmm")</f>
        <v>Sep</v>
      </c>
      <c r="G274" s="3">
        <v>45198</v>
      </c>
      <c r="H274" s="4" t="s">
        <v>307</v>
      </c>
      <c r="I274" s="4" t="s">
        <v>29</v>
      </c>
      <c r="J274" s="4" t="str" cm="1">
        <f t="array" ref="J274">_xlfn.IFS(K274&lt;30,"Young Adult",K274&lt;=50,"Adult",K274&gt;50,"Senior")</f>
        <v>Young Adult</v>
      </c>
      <c r="K274" s="4">
        <v>26</v>
      </c>
      <c r="L274" s="4" t="s">
        <v>8</v>
      </c>
      <c r="M274" s="4">
        <v>4</v>
      </c>
      <c r="N274" s="19">
        <v>500</v>
      </c>
      <c r="O274" s="15">
        <f>M274 * N274</f>
        <v>2000</v>
      </c>
      <c r="P274" s="15">
        <f>O274*$S$3</f>
        <v>30</v>
      </c>
      <c r="Q274" s="15">
        <f>O274*$S$4</f>
        <v>40</v>
      </c>
    </row>
    <row r="275" spans="1:17">
      <c r="A275" s="2">
        <v>204</v>
      </c>
      <c r="B275" s="4">
        <f>DAY(G275)</f>
        <v>28</v>
      </c>
      <c r="C275" s="4">
        <f>MONTH(G275)</f>
        <v>9</v>
      </c>
      <c r="D275" s="4">
        <f>YEAR(G275)</f>
        <v>2023</v>
      </c>
      <c r="E275" s="4" t="str">
        <f>TEXT(G275,"dddd")</f>
        <v>Thursday</v>
      </c>
      <c r="F275" s="4" t="str">
        <f>TEXT(G275,"mmm")</f>
        <v>Sep</v>
      </c>
      <c r="G275" s="3">
        <v>45197</v>
      </c>
      <c r="H275" s="4" t="s">
        <v>308</v>
      </c>
      <c r="I275" s="4" t="s">
        <v>24</v>
      </c>
      <c r="J275" s="4" t="str" cm="1">
        <f t="array" ref="J275">_xlfn.IFS(K275&lt;30,"Young Adult",K275&lt;=50,"Adult",K275&gt;50,"Senior")</f>
        <v>Adult</v>
      </c>
      <c r="K275" s="4">
        <v>39</v>
      </c>
      <c r="L275" s="4" t="s">
        <v>7</v>
      </c>
      <c r="M275" s="4">
        <v>1</v>
      </c>
      <c r="N275" s="19">
        <v>25</v>
      </c>
      <c r="O275" s="15">
        <f>M275 * N275</f>
        <v>25</v>
      </c>
      <c r="P275" s="15">
        <f>O275*$S$3</f>
        <v>0.375</v>
      </c>
      <c r="Q275" s="15">
        <f>O275*$S$4</f>
        <v>0.5</v>
      </c>
    </row>
    <row r="276" spans="1:17">
      <c r="A276" s="2">
        <v>390</v>
      </c>
      <c r="B276" s="4">
        <f>DAY(G276)</f>
        <v>28</v>
      </c>
      <c r="C276" s="4">
        <f>MONTH(G276)</f>
        <v>9</v>
      </c>
      <c r="D276" s="4">
        <f>YEAR(G276)</f>
        <v>2023</v>
      </c>
      <c r="E276" s="4" t="str">
        <f>TEXT(G276,"dddd")</f>
        <v>Thursday</v>
      </c>
      <c r="F276" s="4" t="str">
        <f>TEXT(G276,"mmm")</f>
        <v>Sep</v>
      </c>
      <c r="G276" s="3">
        <v>45197</v>
      </c>
      <c r="H276" s="4" t="s">
        <v>309</v>
      </c>
      <c r="I276" s="4" t="s">
        <v>24</v>
      </c>
      <c r="J276" s="4" t="str" cm="1">
        <f t="array" ref="J276">_xlfn.IFS(K276&lt;30,"Young Adult",K276&lt;=50,"Adult",K276&gt;50,"Senior")</f>
        <v>Adult</v>
      </c>
      <c r="K276" s="4">
        <v>39</v>
      </c>
      <c r="L276" s="4" t="s">
        <v>9</v>
      </c>
      <c r="M276" s="4">
        <v>2</v>
      </c>
      <c r="N276" s="19">
        <v>50</v>
      </c>
      <c r="O276" s="15">
        <f>M276 * N276</f>
        <v>100</v>
      </c>
      <c r="P276" s="15">
        <f>O276*$S$3</f>
        <v>1.5</v>
      </c>
      <c r="Q276" s="15">
        <f>O276*$S$4</f>
        <v>2</v>
      </c>
    </row>
    <row r="277" spans="1:17">
      <c r="A277" s="2">
        <v>147</v>
      </c>
      <c r="B277" s="4">
        <f>DAY(G277)</f>
        <v>28</v>
      </c>
      <c r="C277" s="4">
        <f>MONTH(G277)</f>
        <v>9</v>
      </c>
      <c r="D277" s="4">
        <f>YEAR(G277)</f>
        <v>2023</v>
      </c>
      <c r="E277" s="4" t="str">
        <f>TEXT(G277,"dddd")</f>
        <v>Thursday</v>
      </c>
      <c r="F277" s="4" t="str">
        <f>TEXT(G277,"mmm")</f>
        <v>Sep</v>
      </c>
      <c r="G277" s="3">
        <v>45197</v>
      </c>
      <c r="H277" s="4" t="s">
        <v>310</v>
      </c>
      <c r="I277" s="4" t="s">
        <v>24</v>
      </c>
      <c r="J277" s="4" t="str" cm="1">
        <f t="array" ref="J277">_xlfn.IFS(K277&lt;30,"Young Adult",K277&lt;=50,"Adult",K277&gt;50,"Senior")</f>
        <v>Young Adult</v>
      </c>
      <c r="K277" s="4">
        <v>23</v>
      </c>
      <c r="L277" s="4" t="s">
        <v>9</v>
      </c>
      <c r="M277" s="4">
        <v>1</v>
      </c>
      <c r="N277" s="19">
        <v>300</v>
      </c>
      <c r="O277" s="15">
        <f>M277 * N277</f>
        <v>300</v>
      </c>
      <c r="P277" s="15">
        <f>O277*$S$3</f>
        <v>4.5</v>
      </c>
      <c r="Q277" s="15">
        <f>O277*$S$4</f>
        <v>6</v>
      </c>
    </row>
    <row r="278" spans="1:17">
      <c r="A278" s="2">
        <v>897</v>
      </c>
      <c r="B278" s="4">
        <f>DAY(G278)</f>
        <v>26</v>
      </c>
      <c r="C278" s="4">
        <f>MONTH(G278)</f>
        <v>9</v>
      </c>
      <c r="D278" s="4">
        <f>YEAR(G278)</f>
        <v>2023</v>
      </c>
      <c r="E278" s="4" t="str">
        <f>TEXT(G278,"dddd")</f>
        <v>Tuesday</v>
      </c>
      <c r="F278" s="4" t="str">
        <f>TEXT(G278,"mmm")</f>
        <v>Sep</v>
      </c>
      <c r="G278" s="3">
        <v>45195</v>
      </c>
      <c r="H278" s="4" t="s">
        <v>311</v>
      </c>
      <c r="I278" s="4" t="s">
        <v>29</v>
      </c>
      <c r="J278" s="4" t="str" cm="1">
        <f t="array" ref="J278">_xlfn.IFS(K278&lt;30,"Young Adult",K278&lt;=50,"Adult",K278&gt;50,"Senior")</f>
        <v>Senior</v>
      </c>
      <c r="K278" s="4">
        <v>64</v>
      </c>
      <c r="L278" s="4" t="s">
        <v>9</v>
      </c>
      <c r="M278" s="4">
        <v>2</v>
      </c>
      <c r="N278" s="19">
        <v>50</v>
      </c>
      <c r="O278" s="15">
        <f>M278 * N278</f>
        <v>100</v>
      </c>
      <c r="P278" s="15">
        <f>O278*$S$3</f>
        <v>1.5</v>
      </c>
      <c r="Q278" s="15">
        <f>O278*$S$4</f>
        <v>2</v>
      </c>
    </row>
    <row r="279" spans="1:17">
      <c r="A279" s="2">
        <v>809</v>
      </c>
      <c r="B279" s="4">
        <f>DAY(G279)</f>
        <v>25</v>
      </c>
      <c r="C279" s="4">
        <f>MONTH(G279)</f>
        <v>9</v>
      </c>
      <c r="D279" s="4">
        <f>YEAR(G279)</f>
        <v>2023</v>
      </c>
      <c r="E279" s="4" t="str">
        <f>TEXT(G279,"dddd")</f>
        <v>Monday</v>
      </c>
      <c r="F279" s="4" t="str">
        <f>TEXT(G279,"mmm")</f>
        <v>Sep</v>
      </c>
      <c r="G279" s="3">
        <v>45194</v>
      </c>
      <c r="H279" s="4" t="s">
        <v>312</v>
      </c>
      <c r="I279" s="4" t="s">
        <v>29</v>
      </c>
      <c r="J279" s="4" t="str" cm="1">
        <f t="array" ref="J279">_xlfn.IFS(K279&lt;30,"Young Adult",K279&lt;=50,"Adult",K279&gt;50,"Senior")</f>
        <v>Senior</v>
      </c>
      <c r="K279" s="4">
        <v>62</v>
      </c>
      <c r="L279" s="4" t="s">
        <v>7</v>
      </c>
      <c r="M279" s="4">
        <v>2</v>
      </c>
      <c r="N279" s="19">
        <v>50</v>
      </c>
      <c r="O279" s="15">
        <f>M279 * N279</f>
        <v>100</v>
      </c>
      <c r="P279" s="15">
        <f>O279*$S$3</f>
        <v>1.5</v>
      </c>
      <c r="Q279" s="15">
        <f>O279*$S$4</f>
        <v>2</v>
      </c>
    </row>
    <row r="280" spans="1:17">
      <c r="A280" s="2">
        <v>351</v>
      </c>
      <c r="B280" s="4">
        <f>DAY(G280)</f>
        <v>25</v>
      </c>
      <c r="C280" s="4">
        <f>MONTH(G280)</f>
        <v>9</v>
      </c>
      <c r="D280" s="4">
        <f>YEAR(G280)</f>
        <v>2023</v>
      </c>
      <c r="E280" s="4" t="str">
        <f>TEXT(G280,"dddd")</f>
        <v>Monday</v>
      </c>
      <c r="F280" s="4" t="str">
        <f>TEXT(G280,"mmm")</f>
        <v>Sep</v>
      </c>
      <c r="G280" s="3">
        <v>45194</v>
      </c>
      <c r="H280" s="4" t="s">
        <v>313</v>
      </c>
      <c r="I280" s="4" t="s">
        <v>29</v>
      </c>
      <c r="J280" s="4" t="str" cm="1">
        <f t="array" ref="J280">_xlfn.IFS(K280&lt;30,"Young Adult",K280&lt;=50,"Adult",K280&gt;50,"Senior")</f>
        <v>Senior</v>
      </c>
      <c r="K280" s="4">
        <v>56</v>
      </c>
      <c r="L280" s="4" t="s">
        <v>8</v>
      </c>
      <c r="M280" s="4">
        <v>3</v>
      </c>
      <c r="N280" s="19">
        <v>30</v>
      </c>
      <c r="O280" s="15">
        <f>M280 * N280</f>
        <v>90</v>
      </c>
      <c r="P280" s="15">
        <f>O280*$S$3</f>
        <v>1.3499999999999999</v>
      </c>
      <c r="Q280" s="15">
        <f>O280*$S$4</f>
        <v>1.8</v>
      </c>
    </row>
    <row r="281" spans="1:17">
      <c r="A281" s="2">
        <v>954</v>
      </c>
      <c r="B281" s="4">
        <f>DAY(G281)</f>
        <v>25</v>
      </c>
      <c r="C281" s="4">
        <f>MONTH(G281)</f>
        <v>9</v>
      </c>
      <c r="D281" s="4">
        <f>YEAR(G281)</f>
        <v>2023</v>
      </c>
      <c r="E281" s="4" t="str">
        <f>TEXT(G281,"dddd")</f>
        <v>Monday</v>
      </c>
      <c r="F281" s="4" t="str">
        <f>TEXT(G281,"mmm")</f>
        <v>Sep</v>
      </c>
      <c r="G281" s="3">
        <v>45194</v>
      </c>
      <c r="H281" s="4" t="s">
        <v>314</v>
      </c>
      <c r="I281" s="4" t="s">
        <v>29</v>
      </c>
      <c r="J281" s="4" t="str" cm="1">
        <f t="array" ref="J281">_xlfn.IFS(K281&lt;30,"Young Adult",K281&lt;=50,"Adult",K281&gt;50,"Senior")</f>
        <v>Adult</v>
      </c>
      <c r="K281" s="4">
        <v>50</v>
      </c>
      <c r="L281" s="4" t="s">
        <v>9</v>
      </c>
      <c r="M281" s="4">
        <v>3</v>
      </c>
      <c r="N281" s="19">
        <v>300</v>
      </c>
      <c r="O281" s="15">
        <f>M281 * N281</f>
        <v>900</v>
      </c>
      <c r="P281" s="15">
        <f>O281*$S$3</f>
        <v>13.5</v>
      </c>
      <c r="Q281" s="15">
        <f>O281*$S$4</f>
        <v>18</v>
      </c>
    </row>
    <row r="282" spans="1:17">
      <c r="A282" s="2">
        <v>523</v>
      </c>
      <c r="B282" s="4">
        <f>DAY(G282)</f>
        <v>24</v>
      </c>
      <c r="C282" s="4">
        <f>MONTH(G282)</f>
        <v>9</v>
      </c>
      <c r="D282" s="4">
        <f>YEAR(G282)</f>
        <v>2023</v>
      </c>
      <c r="E282" s="4" t="str">
        <f>TEXT(G282,"dddd")</f>
        <v>Sunday</v>
      </c>
      <c r="F282" s="4" t="str">
        <f>TEXT(G282,"mmm")</f>
        <v>Sep</v>
      </c>
      <c r="G282" s="3">
        <v>45193</v>
      </c>
      <c r="H282" s="4" t="s">
        <v>315</v>
      </c>
      <c r="I282" s="4" t="s">
        <v>29</v>
      </c>
      <c r="J282" s="4" t="str" cm="1">
        <f t="array" ref="J282">_xlfn.IFS(K282&lt;30,"Young Adult",K282&lt;=50,"Adult",K282&gt;50,"Senior")</f>
        <v>Senior</v>
      </c>
      <c r="K282" s="4">
        <v>62</v>
      </c>
      <c r="L282" s="4" t="s">
        <v>9</v>
      </c>
      <c r="M282" s="4">
        <v>1</v>
      </c>
      <c r="N282" s="19">
        <v>300</v>
      </c>
      <c r="O282" s="15">
        <f>M282 * N282</f>
        <v>300</v>
      </c>
      <c r="P282" s="15">
        <f>O282*$S$3</f>
        <v>4.5</v>
      </c>
      <c r="Q282" s="15">
        <f>O282*$S$4</f>
        <v>6</v>
      </c>
    </row>
    <row r="283" spans="1:17">
      <c r="A283" s="2">
        <v>643</v>
      </c>
      <c r="B283" s="4">
        <f>DAY(G283)</f>
        <v>24</v>
      </c>
      <c r="C283" s="4">
        <f>MONTH(G283)</f>
        <v>9</v>
      </c>
      <c r="D283" s="4">
        <f>YEAR(G283)</f>
        <v>2023</v>
      </c>
      <c r="E283" s="4" t="str">
        <f>TEXT(G283,"dddd")</f>
        <v>Sunday</v>
      </c>
      <c r="F283" s="4" t="str">
        <f>TEXT(G283,"mmm")</f>
        <v>Sep</v>
      </c>
      <c r="G283" s="3">
        <v>45193</v>
      </c>
      <c r="H283" s="4" t="s">
        <v>316</v>
      </c>
      <c r="I283" s="4" t="s">
        <v>29</v>
      </c>
      <c r="J283" s="4" t="str" cm="1">
        <f t="array" ref="J283">_xlfn.IFS(K283&lt;30,"Young Adult",K283&lt;=50,"Adult",K283&gt;50,"Senior")</f>
        <v>Young Adult</v>
      </c>
      <c r="K283" s="4">
        <v>28</v>
      </c>
      <c r="L283" s="4" t="s">
        <v>9</v>
      </c>
      <c r="M283" s="4">
        <v>3</v>
      </c>
      <c r="N283" s="19">
        <v>30</v>
      </c>
      <c r="O283" s="15">
        <f>M283 * N283</f>
        <v>90</v>
      </c>
      <c r="P283" s="15">
        <f>O283*$S$3</f>
        <v>1.3499999999999999</v>
      </c>
      <c r="Q283" s="15">
        <f>O283*$S$4</f>
        <v>1.8</v>
      </c>
    </row>
    <row r="284" spans="1:17">
      <c r="A284" s="2">
        <v>616</v>
      </c>
      <c r="B284" s="4">
        <f>DAY(G284)</f>
        <v>23</v>
      </c>
      <c r="C284" s="4">
        <f>MONTH(G284)</f>
        <v>9</v>
      </c>
      <c r="D284" s="4">
        <f>YEAR(G284)</f>
        <v>2023</v>
      </c>
      <c r="E284" s="4" t="str">
        <f>TEXT(G284,"dddd")</f>
        <v>Saturday</v>
      </c>
      <c r="F284" s="4" t="str">
        <f>TEXT(G284,"mmm")</f>
        <v>Sep</v>
      </c>
      <c r="G284" s="3">
        <v>45192</v>
      </c>
      <c r="H284" s="4" t="s">
        <v>317</v>
      </c>
      <c r="I284" s="4" t="s">
        <v>24</v>
      </c>
      <c r="J284" s="4" t="str" cm="1">
        <f t="array" ref="J284">_xlfn.IFS(K284&lt;30,"Young Adult",K284&lt;=50,"Adult",K284&gt;50,"Senior")</f>
        <v>Adult</v>
      </c>
      <c r="K284" s="4">
        <v>41</v>
      </c>
      <c r="L284" s="4" t="s">
        <v>8</v>
      </c>
      <c r="M284" s="4">
        <v>2</v>
      </c>
      <c r="N284" s="19">
        <v>50</v>
      </c>
      <c r="O284" s="15">
        <f>M284 * N284</f>
        <v>100</v>
      </c>
      <c r="P284" s="15">
        <f>O284*$S$3</f>
        <v>1.5</v>
      </c>
      <c r="Q284" s="15">
        <f>O284*$S$4</f>
        <v>2</v>
      </c>
    </row>
    <row r="285" spans="1:17">
      <c r="A285" s="2">
        <v>218</v>
      </c>
      <c r="B285" s="4">
        <f>DAY(G285)</f>
        <v>22</v>
      </c>
      <c r="C285" s="4">
        <f>MONTH(G285)</f>
        <v>9</v>
      </c>
      <c r="D285" s="4">
        <f>YEAR(G285)</f>
        <v>2023</v>
      </c>
      <c r="E285" s="4" t="str">
        <f>TEXT(G285,"dddd")</f>
        <v>Friday</v>
      </c>
      <c r="F285" s="4" t="str">
        <f>TEXT(G285,"mmm")</f>
        <v>Sep</v>
      </c>
      <c r="G285" s="3">
        <v>45191</v>
      </c>
      <c r="H285" s="4" t="s">
        <v>318</v>
      </c>
      <c r="I285" s="4" t="s">
        <v>24</v>
      </c>
      <c r="J285" s="4" t="str" cm="1">
        <f t="array" ref="J285">_xlfn.IFS(K285&lt;30,"Young Adult",K285&lt;=50,"Adult",K285&gt;50,"Senior")</f>
        <v>Senior</v>
      </c>
      <c r="K285" s="4">
        <v>64</v>
      </c>
      <c r="L285" s="4" t="s">
        <v>7</v>
      </c>
      <c r="M285" s="4">
        <v>3</v>
      </c>
      <c r="N285" s="19">
        <v>30</v>
      </c>
      <c r="O285" s="15">
        <f>M285 * N285</f>
        <v>90</v>
      </c>
      <c r="P285" s="15">
        <f>O285*$S$3</f>
        <v>1.3499999999999999</v>
      </c>
      <c r="Q285" s="15">
        <f>O285*$S$4</f>
        <v>1.8</v>
      </c>
    </row>
    <row r="286" spans="1:17">
      <c r="A286" s="2">
        <v>846</v>
      </c>
      <c r="B286" s="4">
        <f>DAY(G286)</f>
        <v>22</v>
      </c>
      <c r="C286" s="4">
        <f>MONTH(G286)</f>
        <v>9</v>
      </c>
      <c r="D286" s="4">
        <f>YEAR(G286)</f>
        <v>2023</v>
      </c>
      <c r="E286" s="4" t="str">
        <f>TEXT(G286,"dddd")</f>
        <v>Friday</v>
      </c>
      <c r="F286" s="4" t="str">
        <f>TEXT(G286,"mmm")</f>
        <v>Sep</v>
      </c>
      <c r="G286" s="3">
        <v>45191</v>
      </c>
      <c r="H286" s="4" t="s">
        <v>319</v>
      </c>
      <c r="I286" s="4" t="s">
        <v>24</v>
      </c>
      <c r="J286" s="4" t="str" cm="1">
        <f t="array" ref="J286">_xlfn.IFS(K286&lt;30,"Young Adult",K286&lt;=50,"Adult",K286&gt;50,"Senior")</f>
        <v>Adult</v>
      </c>
      <c r="K286" s="4">
        <v>42</v>
      </c>
      <c r="L286" s="4" t="s">
        <v>7</v>
      </c>
      <c r="M286" s="4">
        <v>1</v>
      </c>
      <c r="N286" s="19">
        <v>50</v>
      </c>
      <c r="O286" s="15">
        <f>M286 * N286</f>
        <v>50</v>
      </c>
      <c r="P286" s="15">
        <f>O286*$S$3</f>
        <v>0.75</v>
      </c>
      <c r="Q286" s="15">
        <f>O286*$S$4</f>
        <v>1</v>
      </c>
    </row>
    <row r="287" spans="1:17">
      <c r="A287" s="2">
        <v>579</v>
      </c>
      <c r="B287" s="4">
        <f>DAY(G287)</f>
        <v>21</v>
      </c>
      <c r="C287" s="4">
        <f>MONTH(G287)</f>
        <v>9</v>
      </c>
      <c r="D287" s="4">
        <f>YEAR(G287)</f>
        <v>2023</v>
      </c>
      <c r="E287" s="4" t="str">
        <f>TEXT(G287,"dddd")</f>
        <v>Thursday</v>
      </c>
      <c r="F287" s="4" t="str">
        <f>TEXT(G287,"mmm")</f>
        <v>Sep</v>
      </c>
      <c r="G287" s="3">
        <v>45190</v>
      </c>
      <c r="H287" s="4" t="s">
        <v>320</v>
      </c>
      <c r="I287" s="4" t="s">
        <v>29</v>
      </c>
      <c r="J287" s="4" t="str" cm="1">
        <f t="array" ref="J287">_xlfn.IFS(K287&lt;30,"Young Adult",K287&lt;=50,"Adult",K287&gt;50,"Senior")</f>
        <v>Adult</v>
      </c>
      <c r="K287" s="4">
        <v>38</v>
      </c>
      <c r="L287" s="4" t="s">
        <v>9</v>
      </c>
      <c r="M287" s="4">
        <v>1</v>
      </c>
      <c r="N287" s="19">
        <v>30</v>
      </c>
      <c r="O287" s="15">
        <f>M287 * N287</f>
        <v>30</v>
      </c>
      <c r="P287" s="15">
        <f>O287*$S$3</f>
        <v>0.44999999999999996</v>
      </c>
      <c r="Q287" s="15">
        <f>O287*$S$4</f>
        <v>0.6</v>
      </c>
    </row>
    <row r="288" spans="1:17">
      <c r="A288" s="2">
        <v>241</v>
      </c>
      <c r="B288" s="4">
        <f>DAY(G288)</f>
        <v>21</v>
      </c>
      <c r="C288" s="4">
        <f>MONTH(G288)</f>
        <v>9</v>
      </c>
      <c r="D288" s="4">
        <f>YEAR(G288)</f>
        <v>2023</v>
      </c>
      <c r="E288" s="4" t="str">
        <f>TEXT(G288,"dddd")</f>
        <v>Thursday</v>
      </c>
      <c r="F288" s="4" t="str">
        <f>TEXT(G288,"mmm")</f>
        <v>Sep</v>
      </c>
      <c r="G288" s="3">
        <v>45190</v>
      </c>
      <c r="H288" s="4" t="s">
        <v>321</v>
      </c>
      <c r="I288" s="4" t="s">
        <v>29</v>
      </c>
      <c r="J288" s="4" t="str" cm="1">
        <f t="array" ref="J288">_xlfn.IFS(K288&lt;30,"Young Adult",K288&lt;=50,"Adult",K288&gt;50,"Senior")</f>
        <v>Young Adult</v>
      </c>
      <c r="K288" s="4">
        <v>23</v>
      </c>
      <c r="L288" s="4" t="s">
        <v>9</v>
      </c>
      <c r="M288" s="4">
        <v>3</v>
      </c>
      <c r="N288" s="19">
        <v>25</v>
      </c>
      <c r="O288" s="15">
        <f>M288 * N288</f>
        <v>75</v>
      </c>
      <c r="P288" s="15">
        <f>O288*$S$3</f>
        <v>1.125</v>
      </c>
      <c r="Q288" s="15">
        <f>O288*$S$4</f>
        <v>1.5</v>
      </c>
    </row>
    <row r="289" spans="1:17">
      <c r="A289" s="2">
        <v>573</v>
      </c>
      <c r="B289" s="4">
        <f>DAY(G289)</f>
        <v>19</v>
      </c>
      <c r="C289" s="4">
        <f>MONTH(G289)</f>
        <v>9</v>
      </c>
      <c r="D289" s="4">
        <f>YEAR(G289)</f>
        <v>2023</v>
      </c>
      <c r="E289" s="4" t="str">
        <f>TEXT(G289,"dddd")</f>
        <v>Tuesday</v>
      </c>
      <c r="F289" s="4" t="str">
        <f>TEXT(G289,"mmm")</f>
        <v>Sep</v>
      </c>
      <c r="G289" s="3">
        <v>45188</v>
      </c>
      <c r="H289" s="4" t="s">
        <v>322</v>
      </c>
      <c r="I289" s="4" t="s">
        <v>24</v>
      </c>
      <c r="J289" s="4" t="str" cm="1">
        <f t="array" ref="J289">_xlfn.IFS(K289&lt;30,"Young Adult",K289&lt;=50,"Adult",K289&gt;50,"Senior")</f>
        <v>Adult</v>
      </c>
      <c r="K289" s="4">
        <v>49</v>
      </c>
      <c r="L289" s="4" t="s">
        <v>7</v>
      </c>
      <c r="M289" s="4">
        <v>2</v>
      </c>
      <c r="N289" s="19">
        <v>30</v>
      </c>
      <c r="O289" s="15">
        <f>M289 * N289</f>
        <v>60</v>
      </c>
      <c r="P289" s="15">
        <f>O289*$S$3</f>
        <v>0.89999999999999991</v>
      </c>
      <c r="Q289" s="15">
        <f>O289*$S$4</f>
        <v>1.2</v>
      </c>
    </row>
    <row r="290" spans="1:17">
      <c r="A290" s="2">
        <v>513</v>
      </c>
      <c r="B290" s="4">
        <f>DAY(G290)</f>
        <v>19</v>
      </c>
      <c r="C290" s="4">
        <f>MONTH(G290)</f>
        <v>9</v>
      </c>
      <c r="D290" s="4">
        <f>YEAR(G290)</f>
        <v>2023</v>
      </c>
      <c r="E290" s="4" t="str">
        <f>TEXT(G290,"dddd")</f>
        <v>Tuesday</v>
      </c>
      <c r="F290" s="4" t="str">
        <f>TEXT(G290,"mmm")</f>
        <v>Sep</v>
      </c>
      <c r="G290" s="3">
        <v>45188</v>
      </c>
      <c r="H290" s="4" t="s">
        <v>323</v>
      </c>
      <c r="I290" s="4" t="s">
        <v>24</v>
      </c>
      <c r="J290" s="4" t="str" cm="1">
        <f t="array" ref="J290">_xlfn.IFS(K290&lt;30,"Young Adult",K290&lt;=50,"Adult",K290&gt;50,"Senior")</f>
        <v>Young Adult</v>
      </c>
      <c r="K290" s="4">
        <v>24</v>
      </c>
      <c r="L290" s="4" t="s">
        <v>9</v>
      </c>
      <c r="M290" s="4">
        <v>4</v>
      </c>
      <c r="N290" s="19">
        <v>25</v>
      </c>
      <c r="O290" s="15">
        <f>M290 * N290</f>
        <v>100</v>
      </c>
      <c r="P290" s="15">
        <f>O290*$S$3</f>
        <v>1.5</v>
      </c>
      <c r="Q290" s="15">
        <f>O290*$S$4</f>
        <v>2</v>
      </c>
    </row>
    <row r="291" spans="1:17">
      <c r="A291" s="2">
        <v>494</v>
      </c>
      <c r="B291" s="4">
        <f>DAY(G291)</f>
        <v>18</v>
      </c>
      <c r="C291" s="4">
        <f>MONTH(G291)</f>
        <v>9</v>
      </c>
      <c r="D291" s="4">
        <f>YEAR(G291)</f>
        <v>2023</v>
      </c>
      <c r="E291" s="4" t="str">
        <f>TEXT(G291,"dddd")</f>
        <v>Monday</v>
      </c>
      <c r="F291" s="4" t="str">
        <f>TEXT(G291,"mmm")</f>
        <v>Sep</v>
      </c>
      <c r="G291" s="3">
        <v>45187</v>
      </c>
      <c r="H291" s="4" t="s">
        <v>324</v>
      </c>
      <c r="I291" s="4" t="s">
        <v>29</v>
      </c>
      <c r="J291" s="4" t="str" cm="1">
        <f t="array" ref="J291">_xlfn.IFS(K291&lt;30,"Young Adult",K291&lt;=50,"Adult",K291&gt;50,"Senior")</f>
        <v>Adult</v>
      </c>
      <c r="K291" s="4">
        <v>42</v>
      </c>
      <c r="L291" s="4" t="s">
        <v>7</v>
      </c>
      <c r="M291" s="4">
        <v>4</v>
      </c>
      <c r="N291" s="19">
        <v>50</v>
      </c>
      <c r="O291" s="15">
        <f>M291 * N291</f>
        <v>200</v>
      </c>
      <c r="P291" s="15">
        <f>O291*$S$3</f>
        <v>3</v>
      </c>
      <c r="Q291" s="15">
        <f>O291*$S$4</f>
        <v>4</v>
      </c>
    </row>
    <row r="292" spans="1:17">
      <c r="A292" s="2">
        <v>330</v>
      </c>
      <c r="B292" s="4">
        <f>DAY(G292)</f>
        <v>18</v>
      </c>
      <c r="C292" s="4">
        <f>MONTH(G292)</f>
        <v>9</v>
      </c>
      <c r="D292" s="4">
        <f>YEAR(G292)</f>
        <v>2023</v>
      </c>
      <c r="E292" s="4" t="str">
        <f>TEXT(G292,"dddd")</f>
        <v>Monday</v>
      </c>
      <c r="F292" s="4" t="str">
        <f>TEXT(G292,"mmm")</f>
        <v>Sep</v>
      </c>
      <c r="G292" s="3">
        <v>45187</v>
      </c>
      <c r="H292" s="4" t="s">
        <v>325</v>
      </c>
      <c r="I292" s="4" t="s">
        <v>29</v>
      </c>
      <c r="J292" s="4" t="str" cm="1">
        <f t="array" ref="J292">_xlfn.IFS(K292&lt;30,"Young Adult",K292&lt;=50,"Adult",K292&gt;50,"Senior")</f>
        <v>Young Adult</v>
      </c>
      <c r="K292" s="4">
        <v>25</v>
      </c>
      <c r="L292" s="4" t="s">
        <v>7</v>
      </c>
      <c r="M292" s="4">
        <v>4</v>
      </c>
      <c r="N292" s="19">
        <v>50</v>
      </c>
      <c r="O292" s="15">
        <f>M292 * N292</f>
        <v>200</v>
      </c>
      <c r="P292" s="15">
        <f>O292*$S$3</f>
        <v>3</v>
      </c>
      <c r="Q292" s="15">
        <f>O292*$S$4</f>
        <v>4</v>
      </c>
    </row>
    <row r="293" spans="1:17">
      <c r="A293" s="2">
        <v>131</v>
      </c>
      <c r="B293" s="4">
        <f>DAY(G293)</f>
        <v>18</v>
      </c>
      <c r="C293" s="4">
        <f>MONTH(G293)</f>
        <v>9</v>
      </c>
      <c r="D293" s="4">
        <f>YEAR(G293)</f>
        <v>2023</v>
      </c>
      <c r="E293" s="4" t="str">
        <f>TEXT(G293,"dddd")</f>
        <v>Monday</v>
      </c>
      <c r="F293" s="4" t="str">
        <f>TEXT(G293,"mmm")</f>
        <v>Sep</v>
      </c>
      <c r="G293" s="3">
        <v>45187</v>
      </c>
      <c r="H293" s="4" t="s">
        <v>326</v>
      </c>
      <c r="I293" s="4" t="s">
        <v>29</v>
      </c>
      <c r="J293" s="4" t="str" cm="1">
        <f t="array" ref="J293">_xlfn.IFS(K293&lt;30,"Young Adult",K293&lt;=50,"Adult",K293&gt;50,"Senior")</f>
        <v>Young Adult</v>
      </c>
      <c r="K293" s="4">
        <v>21</v>
      </c>
      <c r="L293" s="4" t="s">
        <v>7</v>
      </c>
      <c r="M293" s="4">
        <v>2</v>
      </c>
      <c r="N293" s="19">
        <v>300</v>
      </c>
      <c r="O293" s="15">
        <f>M293 * N293</f>
        <v>600</v>
      </c>
      <c r="P293" s="15">
        <f>O293*$S$3</f>
        <v>9</v>
      </c>
      <c r="Q293" s="15">
        <f>O293*$S$4</f>
        <v>12</v>
      </c>
    </row>
    <row r="294" spans="1:17">
      <c r="A294" s="2">
        <v>794</v>
      </c>
      <c r="B294" s="4">
        <f>DAY(G294)</f>
        <v>17</v>
      </c>
      <c r="C294" s="4">
        <f>MONTH(G294)</f>
        <v>9</v>
      </c>
      <c r="D294" s="4">
        <f>YEAR(G294)</f>
        <v>2023</v>
      </c>
      <c r="E294" s="4" t="str">
        <f>TEXT(G294,"dddd")</f>
        <v>Sunday</v>
      </c>
      <c r="F294" s="4" t="str">
        <f>TEXT(G294,"mmm")</f>
        <v>Sep</v>
      </c>
      <c r="G294" s="3">
        <v>45186</v>
      </c>
      <c r="H294" s="4" t="s">
        <v>327</v>
      </c>
      <c r="I294" s="4" t="s">
        <v>29</v>
      </c>
      <c r="J294" s="4" t="str" cm="1">
        <f t="array" ref="J294">_xlfn.IFS(K294&lt;30,"Young Adult",K294&lt;=50,"Adult",K294&gt;50,"Senior")</f>
        <v>Senior</v>
      </c>
      <c r="K294" s="4">
        <v>60</v>
      </c>
      <c r="L294" s="4" t="s">
        <v>7</v>
      </c>
      <c r="M294" s="4">
        <v>1</v>
      </c>
      <c r="N294" s="19">
        <v>300</v>
      </c>
      <c r="O294" s="15">
        <f>M294 * N294</f>
        <v>300</v>
      </c>
      <c r="P294" s="15">
        <f>O294*$S$3</f>
        <v>4.5</v>
      </c>
      <c r="Q294" s="15">
        <f>O294*$S$4</f>
        <v>6</v>
      </c>
    </row>
    <row r="295" spans="1:17">
      <c r="A295" s="2">
        <v>167</v>
      </c>
      <c r="B295" s="4">
        <f>DAY(G295)</f>
        <v>17</v>
      </c>
      <c r="C295" s="4">
        <f>MONTH(G295)</f>
        <v>9</v>
      </c>
      <c r="D295" s="4">
        <f>YEAR(G295)</f>
        <v>2023</v>
      </c>
      <c r="E295" s="4" t="str">
        <f>TEXT(G295,"dddd")</f>
        <v>Sunday</v>
      </c>
      <c r="F295" s="4" t="str">
        <f>TEXT(G295,"mmm")</f>
        <v>Sep</v>
      </c>
      <c r="G295" s="3">
        <v>45186</v>
      </c>
      <c r="H295" s="4" t="s">
        <v>328</v>
      </c>
      <c r="I295" s="4" t="s">
        <v>29</v>
      </c>
      <c r="J295" s="4" t="str" cm="1">
        <f t="array" ref="J295">_xlfn.IFS(K295&lt;30,"Young Adult",K295&lt;=50,"Adult",K295&gt;50,"Senior")</f>
        <v>Adult</v>
      </c>
      <c r="K295" s="4">
        <v>43</v>
      </c>
      <c r="L295" s="4" t="s">
        <v>8</v>
      </c>
      <c r="M295" s="4">
        <v>3</v>
      </c>
      <c r="N295" s="19">
        <v>50</v>
      </c>
      <c r="O295" s="15">
        <f>M295 * N295</f>
        <v>150</v>
      </c>
      <c r="P295" s="15">
        <f>O295*$S$3</f>
        <v>2.25</v>
      </c>
      <c r="Q295" s="15">
        <f>O295*$S$4</f>
        <v>3</v>
      </c>
    </row>
    <row r="296" spans="1:17">
      <c r="A296" s="2">
        <v>172</v>
      </c>
      <c r="B296" s="4">
        <f>DAY(G296)</f>
        <v>17</v>
      </c>
      <c r="C296" s="4">
        <f>MONTH(G296)</f>
        <v>9</v>
      </c>
      <c r="D296" s="4">
        <f>YEAR(G296)</f>
        <v>2023</v>
      </c>
      <c r="E296" s="4" t="str">
        <f>TEXT(G296,"dddd")</f>
        <v>Sunday</v>
      </c>
      <c r="F296" s="4" t="str">
        <f>TEXT(G296,"mmm")</f>
        <v>Sep</v>
      </c>
      <c r="G296" s="3">
        <v>45186</v>
      </c>
      <c r="H296" s="4" t="s">
        <v>329</v>
      </c>
      <c r="I296" s="4" t="s">
        <v>24</v>
      </c>
      <c r="J296" s="4" t="str" cm="1">
        <f t="array" ref="J296">_xlfn.IFS(K296&lt;30,"Young Adult",K296&lt;=50,"Adult",K296&gt;50,"Senior")</f>
        <v>Adult</v>
      </c>
      <c r="K296" s="4">
        <v>32</v>
      </c>
      <c r="L296" s="4" t="s">
        <v>7</v>
      </c>
      <c r="M296" s="4">
        <v>2</v>
      </c>
      <c r="N296" s="19">
        <v>25</v>
      </c>
      <c r="O296" s="15">
        <f>M296 * N296</f>
        <v>50</v>
      </c>
      <c r="P296" s="15">
        <f>O296*$S$3</f>
        <v>0.75</v>
      </c>
      <c r="Q296" s="15">
        <f>O296*$S$4</f>
        <v>1</v>
      </c>
    </row>
    <row r="297" spans="1:17">
      <c r="A297" s="2">
        <v>375</v>
      </c>
      <c r="B297" s="4">
        <f>DAY(G297)</f>
        <v>17</v>
      </c>
      <c r="C297" s="4">
        <f>MONTH(G297)</f>
        <v>9</v>
      </c>
      <c r="D297" s="4">
        <f>YEAR(G297)</f>
        <v>2023</v>
      </c>
      <c r="E297" s="4" t="str">
        <f>TEXT(G297,"dddd")</f>
        <v>Sunday</v>
      </c>
      <c r="F297" s="4" t="str">
        <f>TEXT(G297,"mmm")</f>
        <v>Sep</v>
      </c>
      <c r="G297" s="3">
        <v>45186</v>
      </c>
      <c r="H297" s="4" t="s">
        <v>330</v>
      </c>
      <c r="I297" s="4" t="s">
        <v>24</v>
      </c>
      <c r="J297" s="4" t="str" cm="1">
        <f t="array" ref="J297">_xlfn.IFS(K297&lt;30,"Young Adult",K297&lt;=50,"Adult",K297&gt;50,"Senior")</f>
        <v>Adult</v>
      </c>
      <c r="K297" s="4">
        <v>32</v>
      </c>
      <c r="L297" s="4" t="s">
        <v>8</v>
      </c>
      <c r="M297" s="4">
        <v>1</v>
      </c>
      <c r="N297" s="19">
        <v>50</v>
      </c>
      <c r="O297" s="15">
        <f>M297 * N297</f>
        <v>50</v>
      </c>
      <c r="P297" s="15">
        <f>O297*$S$3</f>
        <v>0.75</v>
      </c>
      <c r="Q297" s="15">
        <f>O297*$S$4</f>
        <v>1</v>
      </c>
    </row>
    <row r="298" spans="1:17">
      <c r="A298" s="2">
        <v>538</v>
      </c>
      <c r="B298" s="4">
        <f>DAY(G298)</f>
        <v>17</v>
      </c>
      <c r="C298" s="4">
        <f>MONTH(G298)</f>
        <v>9</v>
      </c>
      <c r="D298" s="4">
        <f>YEAR(G298)</f>
        <v>2023</v>
      </c>
      <c r="E298" s="4" t="str">
        <f>TEXT(G298,"dddd")</f>
        <v>Sunday</v>
      </c>
      <c r="F298" s="4" t="str">
        <f>TEXT(G298,"mmm")</f>
        <v>Sep</v>
      </c>
      <c r="G298" s="3">
        <v>45186</v>
      </c>
      <c r="H298" s="4" t="s">
        <v>331</v>
      </c>
      <c r="I298" s="4" t="s">
        <v>24</v>
      </c>
      <c r="J298" s="4" t="str" cm="1">
        <f t="array" ref="J298">_xlfn.IFS(K298&lt;30,"Young Adult",K298&lt;=50,"Adult",K298&gt;50,"Senior")</f>
        <v>Young Adult</v>
      </c>
      <c r="K298" s="4">
        <v>18</v>
      </c>
      <c r="L298" s="4" t="s">
        <v>8</v>
      </c>
      <c r="M298" s="4">
        <v>3</v>
      </c>
      <c r="N298" s="19">
        <v>50</v>
      </c>
      <c r="O298" s="15">
        <f>M298 * N298</f>
        <v>150</v>
      </c>
      <c r="P298" s="15">
        <f>O298*$S$3</f>
        <v>2.25</v>
      </c>
      <c r="Q298" s="15">
        <f>O298*$S$4</f>
        <v>3</v>
      </c>
    </row>
    <row r="299" spans="1:17">
      <c r="A299" s="2">
        <v>19</v>
      </c>
      <c r="B299" s="4">
        <f>DAY(G299)</f>
        <v>16</v>
      </c>
      <c r="C299" s="4">
        <f>MONTH(G299)</f>
        <v>9</v>
      </c>
      <c r="D299" s="4">
        <f>YEAR(G299)</f>
        <v>2023</v>
      </c>
      <c r="E299" s="4" t="str">
        <f>TEXT(G299,"dddd")</f>
        <v>Saturday</v>
      </c>
      <c r="F299" s="4" t="str">
        <f>TEXT(G299,"mmm")</f>
        <v>Sep</v>
      </c>
      <c r="G299" s="3">
        <v>45185</v>
      </c>
      <c r="H299" s="4" t="s">
        <v>332</v>
      </c>
      <c r="I299" s="4" t="s">
        <v>29</v>
      </c>
      <c r="J299" s="4" t="str" cm="1">
        <f t="array" ref="J299">_xlfn.IFS(K299&lt;30,"Young Adult",K299&lt;=50,"Adult",K299&gt;50,"Senior")</f>
        <v>Senior</v>
      </c>
      <c r="K299" s="4">
        <v>62</v>
      </c>
      <c r="L299" s="4" t="s">
        <v>8</v>
      </c>
      <c r="M299" s="4">
        <v>2</v>
      </c>
      <c r="N299" s="19">
        <v>25</v>
      </c>
      <c r="O299" s="15">
        <f>M299 * N299</f>
        <v>50</v>
      </c>
      <c r="P299" s="15">
        <f>O299*$S$3</f>
        <v>0.75</v>
      </c>
      <c r="Q299" s="15">
        <f>O299*$S$4</f>
        <v>1</v>
      </c>
    </row>
    <row r="300" spans="1:17">
      <c r="A300" s="2">
        <v>632</v>
      </c>
      <c r="B300" s="4">
        <f>DAY(G300)</f>
        <v>16</v>
      </c>
      <c r="C300" s="4">
        <f>MONTH(G300)</f>
        <v>9</v>
      </c>
      <c r="D300" s="4">
        <f>YEAR(G300)</f>
        <v>2023</v>
      </c>
      <c r="E300" s="4" t="str">
        <f>TEXT(G300,"dddd")</f>
        <v>Saturday</v>
      </c>
      <c r="F300" s="4" t="str">
        <f>TEXT(G300,"mmm")</f>
        <v>Sep</v>
      </c>
      <c r="G300" s="3">
        <v>45185</v>
      </c>
      <c r="H300" s="4" t="s">
        <v>333</v>
      </c>
      <c r="I300" s="4" t="s">
        <v>29</v>
      </c>
      <c r="J300" s="4" t="str" cm="1">
        <f t="array" ref="J300">_xlfn.IFS(K300&lt;30,"Young Adult",K300&lt;=50,"Adult",K300&gt;50,"Senior")</f>
        <v>Young Adult</v>
      </c>
      <c r="K300" s="4">
        <v>26</v>
      </c>
      <c r="L300" s="4" t="s">
        <v>9</v>
      </c>
      <c r="M300" s="4">
        <v>4</v>
      </c>
      <c r="N300" s="19">
        <v>25</v>
      </c>
      <c r="O300" s="15">
        <f>M300 * N300</f>
        <v>100</v>
      </c>
      <c r="P300" s="15">
        <f>O300*$S$3</f>
        <v>1.5</v>
      </c>
      <c r="Q300" s="15">
        <f>O300*$S$4</f>
        <v>2</v>
      </c>
    </row>
    <row r="301" spans="1:17">
      <c r="A301" s="2">
        <v>412</v>
      </c>
      <c r="B301" s="4">
        <f>DAY(G301)</f>
        <v>16</v>
      </c>
      <c r="C301" s="4">
        <f>MONTH(G301)</f>
        <v>9</v>
      </c>
      <c r="D301" s="4">
        <f>YEAR(G301)</f>
        <v>2023</v>
      </c>
      <c r="E301" s="4" t="str">
        <f>TEXT(G301,"dddd")</f>
        <v>Saturday</v>
      </c>
      <c r="F301" s="4" t="str">
        <f>TEXT(G301,"mmm")</f>
        <v>Sep</v>
      </c>
      <c r="G301" s="3">
        <v>45185</v>
      </c>
      <c r="H301" s="4" t="s">
        <v>334</v>
      </c>
      <c r="I301" s="4" t="s">
        <v>29</v>
      </c>
      <c r="J301" s="4" t="str" cm="1">
        <f t="array" ref="J301">_xlfn.IFS(K301&lt;30,"Young Adult",K301&lt;=50,"Adult",K301&gt;50,"Senior")</f>
        <v>Young Adult</v>
      </c>
      <c r="K301" s="4">
        <v>19</v>
      </c>
      <c r="L301" s="4" t="s">
        <v>9</v>
      </c>
      <c r="M301" s="4">
        <v>4</v>
      </c>
      <c r="N301" s="19">
        <v>500</v>
      </c>
      <c r="O301" s="15">
        <f>M301 * N301</f>
        <v>2000</v>
      </c>
      <c r="P301" s="15">
        <f>O301*$S$3</f>
        <v>30</v>
      </c>
      <c r="Q301" s="15">
        <f>O301*$S$4</f>
        <v>40</v>
      </c>
    </row>
    <row r="302" spans="1:17">
      <c r="A302" s="2">
        <v>326</v>
      </c>
      <c r="B302" s="4">
        <f>DAY(G302)</f>
        <v>15</v>
      </c>
      <c r="C302" s="4">
        <f>MONTH(G302)</f>
        <v>9</v>
      </c>
      <c r="D302" s="4">
        <f>YEAR(G302)</f>
        <v>2023</v>
      </c>
      <c r="E302" s="4" t="str">
        <f>TEXT(G302,"dddd")</f>
        <v>Friday</v>
      </c>
      <c r="F302" s="4" t="str">
        <f>TEXT(G302,"mmm")</f>
        <v>Sep</v>
      </c>
      <c r="G302" s="3">
        <v>45184</v>
      </c>
      <c r="H302" s="4" t="s">
        <v>335</v>
      </c>
      <c r="I302" s="4" t="s">
        <v>29</v>
      </c>
      <c r="J302" s="4" t="str" cm="1">
        <f t="array" ref="J302">_xlfn.IFS(K302&lt;30,"Young Adult",K302&lt;=50,"Adult",K302&gt;50,"Senior")</f>
        <v>Young Adult</v>
      </c>
      <c r="K302" s="4">
        <v>18</v>
      </c>
      <c r="L302" s="4" t="s">
        <v>8</v>
      </c>
      <c r="M302" s="4">
        <v>3</v>
      </c>
      <c r="N302" s="19">
        <v>25</v>
      </c>
      <c r="O302" s="15">
        <f>M302 * N302</f>
        <v>75</v>
      </c>
      <c r="P302" s="15">
        <f>O302*$S$3</f>
        <v>1.125</v>
      </c>
      <c r="Q302" s="15">
        <f>O302*$S$4</f>
        <v>1.5</v>
      </c>
    </row>
    <row r="303" spans="1:17">
      <c r="A303" s="2">
        <v>165</v>
      </c>
      <c r="B303" s="4">
        <f>DAY(G303)</f>
        <v>14</v>
      </c>
      <c r="C303" s="4">
        <f>MONTH(G303)</f>
        <v>9</v>
      </c>
      <c r="D303" s="4">
        <f>YEAR(G303)</f>
        <v>2023</v>
      </c>
      <c r="E303" s="4" t="str">
        <f>TEXT(G303,"dddd")</f>
        <v>Thursday</v>
      </c>
      <c r="F303" s="4" t="str">
        <f>TEXT(G303,"mmm")</f>
        <v>Sep</v>
      </c>
      <c r="G303" s="3">
        <v>45183</v>
      </c>
      <c r="H303" s="4" t="s">
        <v>336</v>
      </c>
      <c r="I303" s="4" t="s">
        <v>29</v>
      </c>
      <c r="J303" s="4" t="str" cm="1">
        <f t="array" ref="J303">_xlfn.IFS(K303&lt;30,"Young Adult",K303&lt;=50,"Adult",K303&gt;50,"Senior")</f>
        <v>Senior</v>
      </c>
      <c r="K303" s="4">
        <v>60</v>
      </c>
      <c r="L303" s="4" t="s">
        <v>8</v>
      </c>
      <c r="M303" s="4">
        <v>4</v>
      </c>
      <c r="N303" s="19">
        <v>300</v>
      </c>
      <c r="O303" s="15">
        <f>M303 * N303</f>
        <v>1200</v>
      </c>
      <c r="P303" s="15">
        <f>O303*$S$3</f>
        <v>18</v>
      </c>
      <c r="Q303" s="15">
        <f>O303*$S$4</f>
        <v>24</v>
      </c>
    </row>
    <row r="304" spans="1:17">
      <c r="A304" s="2">
        <v>113</v>
      </c>
      <c r="B304" s="4">
        <f>DAY(G304)</f>
        <v>13</v>
      </c>
      <c r="C304" s="4">
        <f>MONTH(G304)</f>
        <v>9</v>
      </c>
      <c r="D304" s="4">
        <f>YEAR(G304)</f>
        <v>2023</v>
      </c>
      <c r="E304" s="4" t="str">
        <f>TEXT(G304,"dddd")</f>
        <v>Wednesday</v>
      </c>
      <c r="F304" s="4" t="str">
        <f>TEXT(G304,"mmm")</f>
        <v>Sep</v>
      </c>
      <c r="G304" s="3">
        <v>45182</v>
      </c>
      <c r="H304" s="4" t="s">
        <v>337</v>
      </c>
      <c r="I304" s="4" t="s">
        <v>29</v>
      </c>
      <c r="J304" s="4" t="str" cm="1">
        <f t="array" ref="J304">_xlfn.IFS(K304&lt;30,"Young Adult",K304&lt;=50,"Adult",K304&gt;50,"Senior")</f>
        <v>Adult</v>
      </c>
      <c r="K304" s="4">
        <v>41</v>
      </c>
      <c r="L304" s="4" t="s">
        <v>9</v>
      </c>
      <c r="M304" s="4">
        <v>2</v>
      </c>
      <c r="N304" s="19">
        <v>25</v>
      </c>
      <c r="O304" s="15">
        <f>M304 * N304</f>
        <v>50</v>
      </c>
      <c r="P304" s="15">
        <f>O304*$S$3</f>
        <v>0.75</v>
      </c>
      <c r="Q304" s="15">
        <f>O304*$S$4</f>
        <v>1</v>
      </c>
    </row>
    <row r="305" spans="1:19">
      <c r="A305" s="2">
        <v>832</v>
      </c>
      <c r="B305" s="4">
        <f>DAY(G305)</f>
        <v>11</v>
      </c>
      <c r="C305" s="4">
        <f>MONTH(G305)</f>
        <v>9</v>
      </c>
      <c r="D305" s="4">
        <f>YEAR(G305)</f>
        <v>2023</v>
      </c>
      <c r="E305" s="4" t="str">
        <f>TEXT(G305,"dddd")</f>
        <v>Monday</v>
      </c>
      <c r="F305" s="4" t="str">
        <f>TEXT(G305,"mmm")</f>
        <v>Sep</v>
      </c>
      <c r="G305" s="3">
        <v>45180</v>
      </c>
      <c r="H305" s="4" t="s">
        <v>338</v>
      </c>
      <c r="I305" s="4" t="s">
        <v>24</v>
      </c>
      <c r="J305" s="4" t="str" cm="1">
        <f t="array" ref="J305">_xlfn.IFS(K305&lt;30,"Young Adult",K305&lt;=50,"Adult",K305&gt;50,"Senior")</f>
        <v>Adult</v>
      </c>
      <c r="K305" s="4">
        <v>47</v>
      </c>
      <c r="L305" s="4" t="s">
        <v>7</v>
      </c>
      <c r="M305" s="4">
        <v>4</v>
      </c>
      <c r="N305" s="19">
        <v>500</v>
      </c>
      <c r="O305" s="15">
        <f>M305 * N305</f>
        <v>2000</v>
      </c>
      <c r="P305" s="15">
        <f>O305*$S$3</f>
        <v>30</v>
      </c>
      <c r="Q305" s="15">
        <f>O305*$S$4</f>
        <v>40</v>
      </c>
    </row>
    <row r="306" spans="1:19">
      <c r="A306" s="2">
        <v>604</v>
      </c>
      <c r="B306" s="4">
        <f>DAY(G306)</f>
        <v>11</v>
      </c>
      <c r="C306" s="4">
        <f>MONTH(G306)</f>
        <v>9</v>
      </c>
      <c r="D306" s="4">
        <f>YEAR(G306)</f>
        <v>2023</v>
      </c>
      <c r="E306" s="4" t="str">
        <f>TEXT(G306,"dddd")</f>
        <v>Monday</v>
      </c>
      <c r="F306" s="4" t="str">
        <f>TEXT(G306,"mmm")</f>
        <v>Sep</v>
      </c>
      <c r="G306" s="3">
        <v>45180</v>
      </c>
      <c r="H306" s="4" t="s">
        <v>339</v>
      </c>
      <c r="I306" s="4" t="s">
        <v>29</v>
      </c>
      <c r="J306" s="4" t="str" cm="1">
        <f t="array" ref="J306">_xlfn.IFS(K306&lt;30,"Young Adult",K306&lt;=50,"Adult",K306&gt;50,"Senior")</f>
        <v>Young Adult</v>
      </c>
      <c r="K306" s="4">
        <v>29</v>
      </c>
      <c r="L306" s="4" t="s">
        <v>9</v>
      </c>
      <c r="M306" s="4">
        <v>4</v>
      </c>
      <c r="N306" s="19">
        <v>50</v>
      </c>
      <c r="O306" s="15">
        <f>M306 * N306</f>
        <v>200</v>
      </c>
      <c r="P306" s="15">
        <f>O306*$S$3</f>
        <v>3</v>
      </c>
      <c r="Q306" s="15">
        <f>O306*$S$4</f>
        <v>4</v>
      </c>
    </row>
    <row r="307" spans="1:19">
      <c r="A307" s="2">
        <v>132</v>
      </c>
      <c r="B307" s="4">
        <f>DAY(G307)</f>
        <v>10</v>
      </c>
      <c r="C307" s="4">
        <f>MONTH(G307)</f>
        <v>9</v>
      </c>
      <c r="D307" s="4">
        <f>YEAR(G307)</f>
        <v>2023</v>
      </c>
      <c r="E307" s="4" t="str">
        <f>TEXT(G307,"dddd")</f>
        <v>Sunday</v>
      </c>
      <c r="F307" s="4" t="str">
        <f>TEXT(G307,"mmm")</f>
        <v>Sep</v>
      </c>
      <c r="G307" s="3">
        <v>45179</v>
      </c>
      <c r="H307" s="4" t="s">
        <v>340</v>
      </c>
      <c r="I307" s="4" t="s">
        <v>24</v>
      </c>
      <c r="J307" s="4" t="str" cm="1">
        <f t="array" ref="J307">_xlfn.IFS(K307&lt;30,"Young Adult",K307&lt;=50,"Adult",K307&gt;50,"Senior")</f>
        <v>Adult</v>
      </c>
      <c r="K307" s="4">
        <v>42</v>
      </c>
      <c r="L307" s="4" t="s">
        <v>9</v>
      </c>
      <c r="M307" s="4">
        <v>4</v>
      </c>
      <c r="N307" s="19">
        <v>50</v>
      </c>
      <c r="O307" s="15">
        <f>M307 * N307</f>
        <v>200</v>
      </c>
      <c r="P307" s="15">
        <f>O307*$S$3</f>
        <v>3</v>
      </c>
      <c r="Q307" s="15">
        <f>O307*$S$4</f>
        <v>4</v>
      </c>
    </row>
    <row r="308" spans="1:19">
      <c r="A308" s="2">
        <v>935</v>
      </c>
      <c r="B308" s="4">
        <f>DAY(G308)</f>
        <v>9</v>
      </c>
      <c r="C308" s="4">
        <f>MONTH(G308)</f>
        <v>9</v>
      </c>
      <c r="D308" s="4">
        <f>YEAR(G308)</f>
        <v>2023</v>
      </c>
      <c r="E308" s="4" t="str">
        <f>TEXT(G308,"dddd")</f>
        <v>Saturday</v>
      </c>
      <c r="F308" s="4" t="str">
        <f>TEXT(G308,"mmm")</f>
        <v>Sep</v>
      </c>
      <c r="G308" s="3">
        <v>45178</v>
      </c>
      <c r="H308" s="4" t="s">
        <v>341</v>
      </c>
      <c r="I308" s="4" t="s">
        <v>29</v>
      </c>
      <c r="J308" s="4" t="str" cm="1">
        <f t="array" ref="J308">_xlfn.IFS(K308&lt;30,"Young Adult",K308&lt;=50,"Adult",K308&gt;50,"Senior")</f>
        <v>Adult</v>
      </c>
      <c r="K308" s="4">
        <v>34</v>
      </c>
      <c r="L308" s="4" t="s">
        <v>7</v>
      </c>
      <c r="M308" s="4">
        <v>1</v>
      </c>
      <c r="N308" s="19">
        <v>50</v>
      </c>
      <c r="O308" s="15">
        <f>M308 * N308</f>
        <v>50</v>
      </c>
      <c r="P308" s="15">
        <f>O308*$S$3</f>
        <v>0.75</v>
      </c>
      <c r="Q308" s="15">
        <f>O308*$S$4</f>
        <v>1</v>
      </c>
    </row>
    <row r="309" spans="1:19">
      <c r="A309" s="2">
        <v>858</v>
      </c>
      <c r="B309" s="4">
        <f>DAY(G309)</f>
        <v>9</v>
      </c>
      <c r="C309" s="4">
        <f>MONTH(G309)</f>
        <v>9</v>
      </c>
      <c r="D309" s="4">
        <f>YEAR(G309)</f>
        <v>2023</v>
      </c>
      <c r="E309" s="4" t="str">
        <f>TEXT(G309,"dddd")</f>
        <v>Saturday</v>
      </c>
      <c r="F309" s="4" t="str">
        <f>TEXT(G309,"mmm")</f>
        <v>Sep</v>
      </c>
      <c r="G309" s="3">
        <v>45178</v>
      </c>
      <c r="H309" s="4" t="s">
        <v>342</v>
      </c>
      <c r="I309" s="4" t="s">
        <v>24</v>
      </c>
      <c r="J309" s="4" t="str" cm="1">
        <f t="array" ref="J309">_xlfn.IFS(K309&lt;30,"Young Adult",K309&lt;=50,"Adult",K309&gt;50,"Senior")</f>
        <v>Young Adult</v>
      </c>
      <c r="K309" s="4">
        <v>23</v>
      </c>
      <c r="L309" s="4" t="s">
        <v>9</v>
      </c>
      <c r="M309" s="4">
        <v>2</v>
      </c>
      <c r="N309" s="19">
        <v>50</v>
      </c>
      <c r="O309" s="15">
        <f>M309 * N309</f>
        <v>100</v>
      </c>
      <c r="P309" s="15">
        <f>O309*$S$3</f>
        <v>1.5</v>
      </c>
      <c r="Q309" s="15">
        <f>O309*$S$4</f>
        <v>2</v>
      </c>
      <c r="S309" s="13"/>
    </row>
    <row r="310" spans="1:19">
      <c r="A310" s="2">
        <v>919</v>
      </c>
      <c r="B310" s="4">
        <f>DAY(G310)</f>
        <v>9</v>
      </c>
      <c r="C310" s="4">
        <f>MONTH(G310)</f>
        <v>9</v>
      </c>
      <c r="D310" s="4">
        <f>YEAR(G310)</f>
        <v>2023</v>
      </c>
      <c r="E310" s="4" t="str">
        <f>TEXT(G310,"dddd")</f>
        <v>Saturday</v>
      </c>
      <c r="F310" s="4" t="str">
        <f>TEXT(G310,"mmm")</f>
        <v>Sep</v>
      </c>
      <c r="G310" s="3">
        <v>45178</v>
      </c>
      <c r="H310" s="4" t="s">
        <v>343</v>
      </c>
      <c r="I310" s="4" t="s">
        <v>29</v>
      </c>
      <c r="J310" s="4" t="str" cm="1">
        <f t="array" ref="J310">_xlfn.IFS(K310&lt;30,"Young Adult",K310&lt;=50,"Adult",K310&gt;50,"Senior")</f>
        <v>Young Adult</v>
      </c>
      <c r="K310" s="4">
        <v>22</v>
      </c>
      <c r="L310" s="4" t="s">
        <v>7</v>
      </c>
      <c r="M310" s="4">
        <v>2</v>
      </c>
      <c r="N310" s="19">
        <v>25</v>
      </c>
      <c r="O310" s="15">
        <f>M310 * N310</f>
        <v>50</v>
      </c>
      <c r="P310" s="15">
        <f>O310*$S$3</f>
        <v>0.75</v>
      </c>
      <c r="Q310" s="15">
        <f>O310*$S$4</f>
        <v>1</v>
      </c>
    </row>
    <row r="311" spans="1:19">
      <c r="A311" s="2">
        <v>799</v>
      </c>
      <c r="B311" s="4">
        <f>DAY(G311)</f>
        <v>8</v>
      </c>
      <c r="C311" s="4">
        <f>MONTH(G311)</f>
        <v>9</v>
      </c>
      <c r="D311" s="4">
        <f>YEAR(G311)</f>
        <v>2023</v>
      </c>
      <c r="E311" s="4" t="str">
        <f>TEXT(G311,"dddd")</f>
        <v>Friday</v>
      </c>
      <c r="F311" s="4" t="str">
        <f>TEXT(G311,"mmm")</f>
        <v>Sep</v>
      </c>
      <c r="G311" s="3">
        <v>45177</v>
      </c>
      <c r="H311" s="4" t="s">
        <v>344</v>
      </c>
      <c r="I311" s="4" t="s">
        <v>24</v>
      </c>
      <c r="J311" s="4" t="str" cm="1">
        <f t="array" ref="J311">_xlfn.IFS(K311&lt;30,"Young Adult",K311&lt;=50,"Adult",K311&gt;50,"Senior")</f>
        <v>Senior</v>
      </c>
      <c r="K311" s="4">
        <v>56</v>
      </c>
      <c r="L311" s="4" t="s">
        <v>9</v>
      </c>
      <c r="M311" s="4">
        <v>2</v>
      </c>
      <c r="N311" s="19">
        <v>50</v>
      </c>
      <c r="O311" s="15">
        <f>M311 * N311</f>
        <v>100</v>
      </c>
      <c r="P311" s="15">
        <f>O311*$S$3</f>
        <v>1.5</v>
      </c>
      <c r="Q311" s="15">
        <f>O311*$S$4</f>
        <v>2</v>
      </c>
    </row>
    <row r="312" spans="1:19">
      <c r="A312" s="2">
        <v>413</v>
      </c>
      <c r="B312" s="4">
        <f>DAY(G312)</f>
        <v>8</v>
      </c>
      <c r="C312" s="4">
        <f>MONTH(G312)</f>
        <v>9</v>
      </c>
      <c r="D312" s="4">
        <f>YEAR(G312)</f>
        <v>2023</v>
      </c>
      <c r="E312" s="4" t="str">
        <f>TEXT(G312,"dddd")</f>
        <v>Friday</v>
      </c>
      <c r="F312" s="4" t="str">
        <f>TEXT(G312,"mmm")</f>
        <v>Sep</v>
      </c>
      <c r="G312" s="3">
        <v>45177</v>
      </c>
      <c r="H312" s="4" t="s">
        <v>345</v>
      </c>
      <c r="I312" s="4" t="s">
        <v>29</v>
      </c>
      <c r="J312" s="4" t="str" cm="1">
        <f t="array" ref="J312">_xlfn.IFS(K312&lt;30,"Young Adult",K312&lt;=50,"Adult",K312&gt;50,"Senior")</f>
        <v>Adult</v>
      </c>
      <c r="K312" s="4">
        <v>44</v>
      </c>
      <c r="L312" s="4" t="s">
        <v>7</v>
      </c>
      <c r="M312" s="4">
        <v>3</v>
      </c>
      <c r="N312" s="19">
        <v>25</v>
      </c>
      <c r="O312" s="15">
        <f>M312 * N312</f>
        <v>75</v>
      </c>
      <c r="P312" s="15">
        <f>O312*$S$3</f>
        <v>1.125</v>
      </c>
      <c r="Q312" s="15">
        <f>O312*$S$4</f>
        <v>1.5</v>
      </c>
    </row>
    <row r="313" spans="1:19">
      <c r="A313" s="2">
        <v>183</v>
      </c>
      <c r="B313" s="4">
        <f>DAY(G313)</f>
        <v>8</v>
      </c>
      <c r="C313" s="4">
        <f>MONTH(G313)</f>
        <v>9</v>
      </c>
      <c r="D313" s="4">
        <f>YEAR(G313)</f>
        <v>2023</v>
      </c>
      <c r="E313" s="4" t="str">
        <f>TEXT(G313,"dddd")</f>
        <v>Friday</v>
      </c>
      <c r="F313" s="4" t="str">
        <f>TEXT(G313,"mmm")</f>
        <v>Sep</v>
      </c>
      <c r="G313" s="3">
        <v>45177</v>
      </c>
      <c r="H313" s="4" t="s">
        <v>346</v>
      </c>
      <c r="I313" s="4" t="s">
        <v>29</v>
      </c>
      <c r="J313" s="4" t="str" cm="1">
        <f t="array" ref="J313">_xlfn.IFS(K313&lt;30,"Young Adult",K313&lt;=50,"Adult",K313&gt;50,"Senior")</f>
        <v>Adult</v>
      </c>
      <c r="K313" s="4">
        <v>43</v>
      </c>
      <c r="L313" s="4" t="s">
        <v>7</v>
      </c>
      <c r="M313" s="4">
        <v>3</v>
      </c>
      <c r="N313" s="19">
        <v>300</v>
      </c>
      <c r="O313" s="15">
        <f>M313 * N313</f>
        <v>900</v>
      </c>
      <c r="P313" s="15">
        <f>O313*$S$3</f>
        <v>13.5</v>
      </c>
      <c r="Q313" s="15">
        <f>O313*$S$4</f>
        <v>18</v>
      </c>
    </row>
    <row r="314" spans="1:19">
      <c r="A314" s="2">
        <v>851</v>
      </c>
      <c r="B314" s="4">
        <f>DAY(G314)</f>
        <v>8</v>
      </c>
      <c r="C314" s="4">
        <f>MONTH(G314)</f>
        <v>9</v>
      </c>
      <c r="D314" s="4">
        <f>YEAR(G314)</f>
        <v>2023</v>
      </c>
      <c r="E314" s="4" t="str">
        <f>TEXT(G314,"dddd")</f>
        <v>Friday</v>
      </c>
      <c r="F314" s="4" t="str">
        <f>TEXT(G314,"mmm")</f>
        <v>Sep</v>
      </c>
      <c r="G314" s="3">
        <v>45177</v>
      </c>
      <c r="H314" s="4" t="s">
        <v>347</v>
      </c>
      <c r="I314" s="4" t="s">
        <v>24</v>
      </c>
      <c r="J314" s="4" t="str" cm="1">
        <f t="array" ref="J314">_xlfn.IFS(K314&lt;30,"Young Adult",K314&lt;=50,"Adult",K314&gt;50,"Senior")</f>
        <v>Adult</v>
      </c>
      <c r="K314" s="4">
        <v>32</v>
      </c>
      <c r="L314" s="4" t="s">
        <v>9</v>
      </c>
      <c r="M314" s="4">
        <v>2</v>
      </c>
      <c r="N314" s="19">
        <v>25</v>
      </c>
      <c r="O314" s="15">
        <f>M314 * N314</f>
        <v>50</v>
      </c>
      <c r="P314" s="15">
        <f>O314*$S$3</f>
        <v>0.75</v>
      </c>
      <c r="Q314" s="15">
        <f>O314*$S$4</f>
        <v>1</v>
      </c>
    </row>
    <row r="315" spans="1:19">
      <c r="A315" s="2">
        <v>692</v>
      </c>
      <c r="B315" s="4">
        <f>DAY(G315)</f>
        <v>7</v>
      </c>
      <c r="C315" s="4">
        <f>MONTH(G315)</f>
        <v>9</v>
      </c>
      <c r="D315" s="4">
        <f>YEAR(G315)</f>
        <v>2023</v>
      </c>
      <c r="E315" s="4" t="str">
        <f>TEXT(G315,"dddd")</f>
        <v>Thursday</v>
      </c>
      <c r="F315" s="4" t="str">
        <f>TEXT(G315,"mmm")</f>
        <v>Sep</v>
      </c>
      <c r="G315" s="3">
        <v>45176</v>
      </c>
      <c r="H315" s="4" t="s">
        <v>348</v>
      </c>
      <c r="I315" s="4" t="s">
        <v>29</v>
      </c>
      <c r="J315" s="4" t="str" cm="1">
        <f t="array" ref="J315">_xlfn.IFS(K315&lt;30,"Young Adult",K315&lt;=50,"Adult",K315&gt;50,"Senior")</f>
        <v>Senior</v>
      </c>
      <c r="K315" s="4">
        <v>64</v>
      </c>
      <c r="L315" s="4" t="s">
        <v>8</v>
      </c>
      <c r="M315" s="4">
        <v>2</v>
      </c>
      <c r="N315" s="19">
        <v>50</v>
      </c>
      <c r="O315" s="15">
        <f>M315 * N315</f>
        <v>100</v>
      </c>
      <c r="P315" s="15">
        <f>O315*$S$3</f>
        <v>1.5</v>
      </c>
      <c r="Q315" s="15">
        <f>O315*$S$4</f>
        <v>2</v>
      </c>
    </row>
    <row r="316" spans="1:19">
      <c r="A316" s="2">
        <v>312</v>
      </c>
      <c r="B316" s="4">
        <f>DAY(G316)</f>
        <v>7</v>
      </c>
      <c r="C316" s="4">
        <f>MONTH(G316)</f>
        <v>9</v>
      </c>
      <c r="D316" s="4">
        <f>YEAR(G316)</f>
        <v>2023</v>
      </c>
      <c r="E316" s="4" t="str">
        <f>TEXT(G316,"dddd")</f>
        <v>Thursday</v>
      </c>
      <c r="F316" s="4" t="str">
        <f>TEXT(G316,"mmm")</f>
        <v>Sep</v>
      </c>
      <c r="G316" s="3">
        <v>45176</v>
      </c>
      <c r="H316" s="4" t="s">
        <v>349</v>
      </c>
      <c r="I316" s="4" t="s">
        <v>24</v>
      </c>
      <c r="J316" s="4" t="str" cm="1">
        <f t="array" ref="J316">_xlfn.IFS(K316&lt;30,"Young Adult",K316&lt;=50,"Adult",K316&gt;50,"Senior")</f>
        <v>Adult</v>
      </c>
      <c r="K316" s="4">
        <v>41</v>
      </c>
      <c r="L316" s="4" t="s">
        <v>8</v>
      </c>
      <c r="M316" s="4">
        <v>4</v>
      </c>
      <c r="N316" s="19">
        <v>30</v>
      </c>
      <c r="O316" s="15">
        <f>M316 * N316</f>
        <v>120</v>
      </c>
      <c r="P316" s="15">
        <f>O316*$S$3</f>
        <v>1.7999999999999998</v>
      </c>
      <c r="Q316" s="15">
        <f>O316*$S$4</f>
        <v>2.4</v>
      </c>
    </row>
    <row r="317" spans="1:19">
      <c r="A317" s="2">
        <v>835</v>
      </c>
      <c r="B317" s="4">
        <f>DAY(G317)</f>
        <v>7</v>
      </c>
      <c r="C317" s="4">
        <f>MONTH(G317)</f>
        <v>9</v>
      </c>
      <c r="D317" s="4">
        <f>YEAR(G317)</f>
        <v>2023</v>
      </c>
      <c r="E317" s="4" t="str">
        <f>TEXT(G317,"dddd")</f>
        <v>Thursday</v>
      </c>
      <c r="F317" s="4" t="str">
        <f>TEXT(G317,"mmm")</f>
        <v>Sep</v>
      </c>
      <c r="G317" s="3">
        <v>45176</v>
      </c>
      <c r="H317" s="4" t="s">
        <v>350</v>
      </c>
      <c r="I317" s="4" t="s">
        <v>24</v>
      </c>
      <c r="J317" s="4" t="str" cm="1">
        <f t="array" ref="J317">_xlfn.IFS(K317&lt;30,"Young Adult",K317&lt;=50,"Adult",K317&gt;50,"Senior")</f>
        <v>Adult</v>
      </c>
      <c r="K317" s="4">
        <v>37</v>
      </c>
      <c r="L317" s="4" t="s">
        <v>8</v>
      </c>
      <c r="M317" s="4">
        <v>4</v>
      </c>
      <c r="N317" s="19">
        <v>50</v>
      </c>
      <c r="O317" s="15">
        <f>M317 * N317</f>
        <v>200</v>
      </c>
      <c r="P317" s="15">
        <f>O317*$S$3</f>
        <v>3</v>
      </c>
      <c r="Q317" s="15">
        <f>O317*$S$4</f>
        <v>4</v>
      </c>
    </row>
    <row r="318" spans="1:19">
      <c r="A318" s="2">
        <v>194</v>
      </c>
      <c r="B318" s="4">
        <f>DAY(G318)</f>
        <v>6</v>
      </c>
      <c r="C318" s="4">
        <f>MONTH(G318)</f>
        <v>9</v>
      </c>
      <c r="D318" s="4">
        <f>YEAR(G318)</f>
        <v>2023</v>
      </c>
      <c r="E318" s="4" t="str">
        <f>TEXT(G318,"dddd")</f>
        <v>Wednesday</v>
      </c>
      <c r="F318" s="4" t="str">
        <f>TEXT(G318,"mmm")</f>
        <v>Sep</v>
      </c>
      <c r="G318" s="3">
        <v>45175</v>
      </c>
      <c r="H318" s="4" t="s">
        <v>351</v>
      </c>
      <c r="I318" s="4" t="s">
        <v>24</v>
      </c>
      <c r="J318" s="4" t="str" cm="1">
        <f t="array" ref="J318">_xlfn.IFS(K318&lt;30,"Young Adult",K318&lt;=50,"Adult",K318&gt;50,"Senior")</f>
        <v>Senior</v>
      </c>
      <c r="K318" s="4">
        <v>55</v>
      </c>
      <c r="L318" s="4" t="s">
        <v>8</v>
      </c>
      <c r="M318" s="4">
        <v>4</v>
      </c>
      <c r="N318" s="19">
        <v>50</v>
      </c>
      <c r="O318" s="15">
        <f>M318 * N318</f>
        <v>200</v>
      </c>
      <c r="P318" s="15">
        <f>O318*$S$3</f>
        <v>3</v>
      </c>
      <c r="Q318" s="15">
        <f>O318*$S$4</f>
        <v>4</v>
      </c>
    </row>
    <row r="319" spans="1:19">
      <c r="A319" s="2">
        <v>696</v>
      </c>
      <c r="B319" s="4">
        <f>DAY(G319)</f>
        <v>6</v>
      </c>
      <c r="C319" s="4">
        <f>MONTH(G319)</f>
        <v>9</v>
      </c>
      <c r="D319" s="4">
        <f>YEAR(G319)</f>
        <v>2023</v>
      </c>
      <c r="E319" s="4" t="str">
        <f>TEXT(G319,"dddd")</f>
        <v>Wednesday</v>
      </c>
      <c r="F319" s="4" t="str">
        <f>TEXT(G319,"mmm")</f>
        <v>Sep</v>
      </c>
      <c r="G319" s="3">
        <v>45175</v>
      </c>
      <c r="H319" s="4" t="s">
        <v>352</v>
      </c>
      <c r="I319" s="4" t="s">
        <v>29</v>
      </c>
      <c r="J319" s="4" t="str" cm="1">
        <f t="array" ref="J319">_xlfn.IFS(K319&lt;30,"Young Adult",K319&lt;=50,"Adult",K319&gt;50,"Senior")</f>
        <v>Adult</v>
      </c>
      <c r="K319" s="4">
        <v>50</v>
      </c>
      <c r="L319" s="4" t="s">
        <v>8</v>
      </c>
      <c r="M319" s="4">
        <v>4</v>
      </c>
      <c r="N319" s="19">
        <v>50</v>
      </c>
      <c r="O319" s="15">
        <f>M319 * N319</f>
        <v>200</v>
      </c>
      <c r="P319" s="15">
        <f>O319*$S$3</f>
        <v>3</v>
      </c>
      <c r="Q319" s="15">
        <f>O319*$S$4</f>
        <v>4</v>
      </c>
    </row>
    <row r="320" spans="1:19">
      <c r="A320" s="2">
        <v>245</v>
      </c>
      <c r="B320" s="4">
        <f>DAY(G320)</f>
        <v>6</v>
      </c>
      <c r="C320" s="4">
        <f>MONTH(G320)</f>
        <v>9</v>
      </c>
      <c r="D320" s="4">
        <f>YEAR(G320)</f>
        <v>2023</v>
      </c>
      <c r="E320" s="4" t="str">
        <f>TEXT(G320,"dddd")</f>
        <v>Wednesday</v>
      </c>
      <c r="F320" s="4" t="str">
        <f>TEXT(G320,"mmm")</f>
        <v>Sep</v>
      </c>
      <c r="G320" s="3">
        <v>45175</v>
      </c>
      <c r="H320" s="4" t="s">
        <v>353</v>
      </c>
      <c r="I320" s="4" t="s">
        <v>24</v>
      </c>
      <c r="J320" s="4" t="str" cm="1">
        <f t="array" ref="J320">_xlfn.IFS(K320&lt;30,"Young Adult",K320&lt;=50,"Adult",K320&gt;50,"Senior")</f>
        <v>Adult</v>
      </c>
      <c r="K320" s="4">
        <v>47</v>
      </c>
      <c r="L320" s="4" t="s">
        <v>8</v>
      </c>
      <c r="M320" s="4">
        <v>3</v>
      </c>
      <c r="N320" s="19">
        <v>30</v>
      </c>
      <c r="O320" s="15">
        <f>M320 * N320</f>
        <v>90</v>
      </c>
      <c r="P320" s="15">
        <f>O320*$S$3</f>
        <v>1.3499999999999999</v>
      </c>
      <c r="Q320" s="15">
        <f>O320*$S$4</f>
        <v>1.8</v>
      </c>
    </row>
    <row r="321" spans="1:17">
      <c r="A321" s="2">
        <v>644</v>
      </c>
      <c r="B321" s="4">
        <f>DAY(G321)</f>
        <v>6</v>
      </c>
      <c r="C321" s="4">
        <f>MONTH(G321)</f>
        <v>9</v>
      </c>
      <c r="D321" s="4">
        <f>YEAR(G321)</f>
        <v>2023</v>
      </c>
      <c r="E321" s="4" t="str">
        <f>TEXT(G321,"dddd")</f>
        <v>Wednesday</v>
      </c>
      <c r="F321" s="4" t="str">
        <f>TEXT(G321,"mmm")</f>
        <v>Sep</v>
      </c>
      <c r="G321" s="3">
        <v>45175</v>
      </c>
      <c r="H321" s="4" t="s">
        <v>354</v>
      </c>
      <c r="I321" s="4" t="s">
        <v>24</v>
      </c>
      <c r="J321" s="4" t="str" cm="1">
        <f t="array" ref="J321">_xlfn.IFS(K321&lt;30,"Young Adult",K321&lt;=50,"Adult",K321&gt;50,"Senior")</f>
        <v>Young Adult</v>
      </c>
      <c r="K321" s="4">
        <v>23</v>
      </c>
      <c r="L321" s="4" t="s">
        <v>7</v>
      </c>
      <c r="M321" s="4">
        <v>3</v>
      </c>
      <c r="N321" s="19">
        <v>25</v>
      </c>
      <c r="O321" s="15">
        <f>M321 * N321</f>
        <v>75</v>
      </c>
      <c r="P321" s="15">
        <f>O321*$S$3</f>
        <v>1.125</v>
      </c>
      <c r="Q321" s="15">
        <f>O321*$S$4</f>
        <v>1.5</v>
      </c>
    </row>
    <row r="322" spans="1:17">
      <c r="A322" s="2">
        <v>296</v>
      </c>
      <c r="B322" s="4">
        <f>DAY(G322)</f>
        <v>6</v>
      </c>
      <c r="C322" s="4">
        <f>MONTH(G322)</f>
        <v>9</v>
      </c>
      <c r="D322" s="4">
        <f>YEAR(G322)</f>
        <v>2023</v>
      </c>
      <c r="E322" s="4" t="str">
        <f>TEXT(G322,"dddd")</f>
        <v>Wednesday</v>
      </c>
      <c r="F322" s="4" t="str">
        <f>TEXT(G322,"mmm")</f>
        <v>Sep</v>
      </c>
      <c r="G322" s="3">
        <v>45175</v>
      </c>
      <c r="H322" s="4" t="s">
        <v>355</v>
      </c>
      <c r="I322" s="4" t="s">
        <v>29</v>
      </c>
      <c r="J322" s="4" t="str" cm="1">
        <f t="array" ref="J322">_xlfn.IFS(K322&lt;30,"Young Adult",K322&lt;=50,"Adult",K322&gt;50,"Senior")</f>
        <v>Young Adult</v>
      </c>
      <c r="K322" s="4">
        <v>22</v>
      </c>
      <c r="L322" s="4" t="s">
        <v>8</v>
      </c>
      <c r="M322" s="4">
        <v>4</v>
      </c>
      <c r="N322" s="19">
        <v>300</v>
      </c>
      <c r="O322" s="15">
        <f>M322 * N322</f>
        <v>1200</v>
      </c>
      <c r="P322" s="15">
        <f>O322*$S$3</f>
        <v>18</v>
      </c>
      <c r="Q322" s="15">
        <f>O322*$S$4</f>
        <v>24</v>
      </c>
    </row>
    <row r="323" spans="1:17">
      <c r="A323" s="2">
        <v>814</v>
      </c>
      <c r="B323" s="4">
        <f>DAY(G323)</f>
        <v>5</v>
      </c>
      <c r="C323" s="4">
        <f>MONTH(G323)</f>
        <v>9</v>
      </c>
      <c r="D323" s="4">
        <f>YEAR(G323)</f>
        <v>2023</v>
      </c>
      <c r="E323" s="4" t="str">
        <f>TEXT(G323,"dddd")</f>
        <v>Tuesday</v>
      </c>
      <c r="F323" s="4" t="str">
        <f>TEXT(G323,"mmm")</f>
        <v>Sep</v>
      </c>
      <c r="G323" s="3">
        <v>45174</v>
      </c>
      <c r="H323" s="4" t="s">
        <v>356</v>
      </c>
      <c r="I323" s="4" t="s">
        <v>29</v>
      </c>
      <c r="J323" s="4" t="str" cm="1">
        <f t="array" ref="J323">_xlfn.IFS(K323&lt;30,"Young Adult",K323&lt;=50,"Adult",K323&gt;50,"Senior")</f>
        <v>Senior</v>
      </c>
      <c r="K323" s="4">
        <v>59</v>
      </c>
      <c r="L323" s="4" t="s">
        <v>8</v>
      </c>
      <c r="M323" s="4">
        <v>1</v>
      </c>
      <c r="N323" s="19">
        <v>500</v>
      </c>
      <c r="O323" s="15">
        <f>M323 * N323</f>
        <v>500</v>
      </c>
      <c r="P323" s="15">
        <f>O323*$S$3</f>
        <v>7.5</v>
      </c>
      <c r="Q323" s="15">
        <f>O323*$S$4</f>
        <v>10</v>
      </c>
    </row>
    <row r="324" spans="1:17">
      <c r="A324" s="2">
        <v>894</v>
      </c>
      <c r="B324" s="4">
        <f>DAY(G324)</f>
        <v>5</v>
      </c>
      <c r="C324" s="4">
        <f>MONTH(G324)</f>
        <v>9</v>
      </c>
      <c r="D324" s="4">
        <f>YEAR(G324)</f>
        <v>2023</v>
      </c>
      <c r="E324" s="4" t="str">
        <f>TEXT(G324,"dddd")</f>
        <v>Tuesday</v>
      </c>
      <c r="F324" s="4" t="str">
        <f>TEXT(G324,"mmm")</f>
        <v>Sep</v>
      </c>
      <c r="G324" s="3">
        <v>45174</v>
      </c>
      <c r="H324" s="4" t="s">
        <v>357</v>
      </c>
      <c r="I324" s="4" t="s">
        <v>24</v>
      </c>
      <c r="J324" s="4" t="str" cm="1">
        <f t="array" ref="J324">_xlfn.IFS(K324&lt;30,"Young Adult",K324&lt;=50,"Adult",K324&gt;50,"Senior")</f>
        <v>Senior</v>
      </c>
      <c r="K324" s="4">
        <v>52</v>
      </c>
      <c r="L324" s="4" t="s">
        <v>9</v>
      </c>
      <c r="M324" s="4">
        <v>1</v>
      </c>
      <c r="N324" s="19">
        <v>30</v>
      </c>
      <c r="O324" s="15">
        <f>M324 * N324</f>
        <v>30</v>
      </c>
      <c r="P324" s="15">
        <f>O324*$S$3</f>
        <v>0.44999999999999996</v>
      </c>
      <c r="Q324" s="15">
        <f>O324*$S$4</f>
        <v>0.6</v>
      </c>
    </row>
    <row r="325" spans="1:17">
      <c r="A325" s="2">
        <v>297</v>
      </c>
      <c r="B325" s="4">
        <f>DAY(G325)</f>
        <v>4</v>
      </c>
      <c r="C325" s="4">
        <f>MONTH(G325)</f>
        <v>9</v>
      </c>
      <c r="D325" s="4">
        <f>YEAR(G325)</f>
        <v>2023</v>
      </c>
      <c r="E325" s="4" t="str">
        <f>TEXT(G325,"dddd")</f>
        <v>Monday</v>
      </c>
      <c r="F325" s="4" t="str">
        <f>TEXT(G325,"mmm")</f>
        <v>Sep</v>
      </c>
      <c r="G325" s="3">
        <v>45173</v>
      </c>
      <c r="H325" s="4" t="s">
        <v>358</v>
      </c>
      <c r="I325" s="4" t="s">
        <v>29</v>
      </c>
      <c r="J325" s="4" t="str" cm="1">
        <f t="array" ref="J325">_xlfn.IFS(K325&lt;30,"Young Adult",K325&lt;=50,"Adult",K325&gt;50,"Senior")</f>
        <v>Adult</v>
      </c>
      <c r="K325" s="4">
        <v>40</v>
      </c>
      <c r="L325" s="4" t="s">
        <v>9</v>
      </c>
      <c r="M325" s="4">
        <v>2</v>
      </c>
      <c r="N325" s="19">
        <v>500</v>
      </c>
      <c r="O325" s="15">
        <f>M325 * N325</f>
        <v>1000</v>
      </c>
      <c r="P325" s="15">
        <f>O325*$S$3</f>
        <v>15</v>
      </c>
      <c r="Q325" s="15">
        <f>O325*$S$4</f>
        <v>20</v>
      </c>
    </row>
    <row r="326" spans="1:17">
      <c r="A326" s="2">
        <v>925</v>
      </c>
      <c r="B326" s="4">
        <f>DAY(G326)</f>
        <v>3</v>
      </c>
      <c r="C326" s="4">
        <f>MONTH(G326)</f>
        <v>9</v>
      </c>
      <c r="D326" s="4">
        <f>YEAR(G326)</f>
        <v>2023</v>
      </c>
      <c r="E326" s="4" t="str">
        <f>TEXT(G326,"dddd")</f>
        <v>Sunday</v>
      </c>
      <c r="F326" s="4" t="str">
        <f>TEXT(G326,"mmm")</f>
        <v>Sep</v>
      </c>
      <c r="G326" s="3">
        <v>45172</v>
      </c>
      <c r="H326" s="4" t="s">
        <v>359</v>
      </c>
      <c r="I326" s="4" t="s">
        <v>24</v>
      </c>
      <c r="J326" s="4" t="str" cm="1">
        <f t="array" ref="J326">_xlfn.IFS(K326&lt;30,"Young Adult",K326&lt;=50,"Adult",K326&gt;50,"Senior")</f>
        <v>Young Adult</v>
      </c>
      <c r="K326" s="4">
        <v>25</v>
      </c>
      <c r="L326" s="4" t="s">
        <v>9</v>
      </c>
      <c r="M326" s="4">
        <v>1</v>
      </c>
      <c r="N326" s="19">
        <v>300</v>
      </c>
      <c r="O326" s="15">
        <f>M326 * N326</f>
        <v>300</v>
      </c>
      <c r="P326" s="15">
        <f>O326*$S$3</f>
        <v>4.5</v>
      </c>
      <c r="Q326" s="15">
        <f>O326*$S$4</f>
        <v>6</v>
      </c>
    </row>
    <row r="327" spans="1:17">
      <c r="A327" s="2">
        <v>325</v>
      </c>
      <c r="B327" s="4">
        <f>DAY(G327)</f>
        <v>2</v>
      </c>
      <c r="C327" s="4">
        <f>MONTH(G327)</f>
        <v>9</v>
      </c>
      <c r="D327" s="4">
        <f>YEAR(G327)</f>
        <v>2023</v>
      </c>
      <c r="E327" s="4" t="str">
        <f>TEXT(G327,"dddd")</f>
        <v>Saturday</v>
      </c>
      <c r="F327" s="4" t="str">
        <f>TEXT(G327,"mmm")</f>
        <v>Sep</v>
      </c>
      <c r="G327" s="3">
        <v>45171</v>
      </c>
      <c r="H327" s="4" t="s">
        <v>360</v>
      </c>
      <c r="I327" s="4" t="s">
        <v>29</v>
      </c>
      <c r="J327" s="4" t="str" cm="1">
        <f t="array" ref="J327">_xlfn.IFS(K327&lt;30,"Young Adult",K327&lt;=50,"Adult",K327&gt;50,"Senior")</f>
        <v>Senior</v>
      </c>
      <c r="K327" s="4">
        <v>52</v>
      </c>
      <c r="L327" s="4" t="s">
        <v>9</v>
      </c>
      <c r="M327" s="4">
        <v>2</v>
      </c>
      <c r="N327" s="19">
        <v>25</v>
      </c>
      <c r="O327" s="15">
        <f>M327 * N327</f>
        <v>50</v>
      </c>
      <c r="P327" s="15">
        <f>O327*$S$3</f>
        <v>0.75</v>
      </c>
      <c r="Q327" s="15">
        <f>O327*$S$4</f>
        <v>1</v>
      </c>
    </row>
    <row r="328" spans="1:17">
      <c r="A328" s="2">
        <v>682</v>
      </c>
      <c r="B328" s="4">
        <f>DAY(G328)</f>
        <v>2</v>
      </c>
      <c r="C328" s="4">
        <f>MONTH(G328)</f>
        <v>9</v>
      </c>
      <c r="D328" s="4">
        <f>YEAR(G328)</f>
        <v>2023</v>
      </c>
      <c r="E328" s="4" t="str">
        <f>TEXT(G328,"dddd")</f>
        <v>Saturday</v>
      </c>
      <c r="F328" s="4" t="str">
        <f>TEXT(G328,"mmm")</f>
        <v>Sep</v>
      </c>
      <c r="G328" s="3">
        <v>45171</v>
      </c>
      <c r="H328" s="4" t="s">
        <v>361</v>
      </c>
      <c r="I328" s="4" t="s">
        <v>24</v>
      </c>
      <c r="J328" s="4" t="str" cm="1">
        <f t="array" ref="J328">_xlfn.IFS(K328&lt;30,"Young Adult",K328&lt;=50,"Adult",K328&gt;50,"Senior")</f>
        <v>Adult</v>
      </c>
      <c r="K328" s="4">
        <v>46</v>
      </c>
      <c r="L328" s="4" t="s">
        <v>7</v>
      </c>
      <c r="M328" s="4">
        <v>4</v>
      </c>
      <c r="N328" s="19">
        <v>300</v>
      </c>
      <c r="O328" s="15">
        <f>M328 * N328</f>
        <v>1200</v>
      </c>
      <c r="P328" s="15">
        <f>O328*$S$3</f>
        <v>18</v>
      </c>
      <c r="Q328" s="15">
        <f>O328*$S$4</f>
        <v>24</v>
      </c>
    </row>
    <row r="329" spans="1:17">
      <c r="A329" s="2">
        <v>931</v>
      </c>
      <c r="B329" s="4">
        <f>DAY(G329)</f>
        <v>2</v>
      </c>
      <c r="C329" s="4">
        <f>MONTH(G329)</f>
        <v>9</v>
      </c>
      <c r="D329" s="4">
        <f>YEAR(G329)</f>
        <v>2023</v>
      </c>
      <c r="E329" s="4" t="str">
        <f>TEXT(G329,"dddd")</f>
        <v>Saturday</v>
      </c>
      <c r="F329" s="4" t="str">
        <f>TEXT(G329,"mmm")</f>
        <v>Sep</v>
      </c>
      <c r="G329" s="3">
        <v>45171</v>
      </c>
      <c r="H329" s="4" t="s">
        <v>362</v>
      </c>
      <c r="I329" s="4" t="s">
        <v>24</v>
      </c>
      <c r="J329" s="4" t="str" cm="1">
        <f t="array" ref="J329">_xlfn.IFS(K329&lt;30,"Young Adult",K329&lt;=50,"Adult",K329&gt;50,"Senior")</f>
        <v>Adult</v>
      </c>
      <c r="K329" s="4">
        <v>30</v>
      </c>
      <c r="L329" s="4" t="s">
        <v>7</v>
      </c>
      <c r="M329" s="4">
        <v>4</v>
      </c>
      <c r="N329" s="19">
        <v>30</v>
      </c>
      <c r="O329" s="15">
        <f>M329 * N329</f>
        <v>120</v>
      </c>
      <c r="P329" s="15">
        <f>O329*$S$3</f>
        <v>1.7999999999999998</v>
      </c>
      <c r="Q329" s="15">
        <f>O329*$S$4</f>
        <v>2.4</v>
      </c>
    </row>
    <row r="330" spans="1:17">
      <c r="A330" s="2">
        <v>855</v>
      </c>
      <c r="B330" s="4">
        <f>DAY(G330)</f>
        <v>1</v>
      </c>
      <c r="C330" s="4">
        <f>MONTH(G330)</f>
        <v>9</v>
      </c>
      <c r="D330" s="4">
        <f>YEAR(G330)</f>
        <v>2023</v>
      </c>
      <c r="E330" s="4" t="str">
        <f>TEXT(G330,"dddd")</f>
        <v>Friday</v>
      </c>
      <c r="F330" s="4" t="str">
        <f>TEXT(G330,"mmm")</f>
        <v>Sep</v>
      </c>
      <c r="G330" s="3">
        <v>45170</v>
      </c>
      <c r="H330" s="4" t="s">
        <v>363</v>
      </c>
      <c r="I330" s="4" t="s">
        <v>24</v>
      </c>
      <c r="J330" s="4" t="str" cm="1">
        <f t="array" ref="J330">_xlfn.IFS(K330&lt;30,"Young Adult",K330&lt;=50,"Adult",K330&gt;50,"Senior")</f>
        <v>Senior</v>
      </c>
      <c r="K330" s="4">
        <v>54</v>
      </c>
      <c r="L330" s="4" t="s">
        <v>7</v>
      </c>
      <c r="M330" s="4">
        <v>1</v>
      </c>
      <c r="N330" s="19">
        <v>25</v>
      </c>
      <c r="O330" s="15">
        <f>M330 * N330</f>
        <v>25</v>
      </c>
      <c r="P330" s="15">
        <f>O330*$S$3</f>
        <v>0.375</v>
      </c>
      <c r="Q330" s="15">
        <f>O330*$S$4</f>
        <v>0.5</v>
      </c>
    </row>
    <row r="331" spans="1:17">
      <c r="A331" s="2">
        <v>637</v>
      </c>
      <c r="B331" s="4">
        <f>DAY(G331)</f>
        <v>1</v>
      </c>
      <c r="C331" s="4">
        <f>MONTH(G331)</f>
        <v>9</v>
      </c>
      <c r="D331" s="4">
        <f>YEAR(G331)</f>
        <v>2023</v>
      </c>
      <c r="E331" s="4" t="str">
        <f>TEXT(G331,"dddd")</f>
        <v>Friday</v>
      </c>
      <c r="F331" s="4" t="str">
        <f>TEXT(G331,"mmm")</f>
        <v>Sep</v>
      </c>
      <c r="G331" s="3">
        <v>45170</v>
      </c>
      <c r="H331" s="4" t="s">
        <v>364</v>
      </c>
      <c r="I331" s="4" t="s">
        <v>24</v>
      </c>
      <c r="J331" s="4" t="str" cm="1">
        <f t="array" ref="J331">_xlfn.IFS(K331&lt;30,"Young Adult",K331&lt;=50,"Adult",K331&gt;50,"Senior")</f>
        <v>Adult</v>
      </c>
      <c r="K331" s="4">
        <v>43</v>
      </c>
      <c r="L331" s="4" t="s">
        <v>8</v>
      </c>
      <c r="M331" s="4">
        <v>2</v>
      </c>
      <c r="N331" s="19">
        <v>300</v>
      </c>
      <c r="O331" s="15">
        <f>M331 * N331</f>
        <v>600</v>
      </c>
      <c r="P331" s="15">
        <f>O331*$S$3</f>
        <v>9</v>
      </c>
      <c r="Q331" s="15">
        <f>O331*$S$4</f>
        <v>12</v>
      </c>
    </row>
    <row r="332" spans="1:17">
      <c r="A332" s="2">
        <v>200</v>
      </c>
      <c r="B332" s="4">
        <f>DAY(G332)</f>
        <v>1</v>
      </c>
      <c r="C332" s="4">
        <f>MONTH(G332)</f>
        <v>9</v>
      </c>
      <c r="D332" s="4">
        <f>YEAR(G332)</f>
        <v>2023</v>
      </c>
      <c r="E332" s="4" t="str">
        <f>TEXT(G332,"dddd")</f>
        <v>Friday</v>
      </c>
      <c r="F332" s="4" t="str">
        <f>TEXT(G332,"mmm")</f>
        <v>Sep</v>
      </c>
      <c r="G332" s="3">
        <v>45170</v>
      </c>
      <c r="H332" s="4" t="s">
        <v>365</v>
      </c>
      <c r="I332" s="4" t="s">
        <v>24</v>
      </c>
      <c r="J332" s="4" t="str" cm="1">
        <f t="array" ref="J332">_xlfn.IFS(K332&lt;30,"Young Adult",K332&lt;=50,"Adult",K332&gt;50,"Senior")</f>
        <v>Young Adult</v>
      </c>
      <c r="K332" s="4">
        <v>27</v>
      </c>
      <c r="L332" s="4" t="s">
        <v>7</v>
      </c>
      <c r="M332" s="4">
        <v>3</v>
      </c>
      <c r="N332" s="19">
        <v>50</v>
      </c>
      <c r="O332" s="15">
        <f>M332 * N332</f>
        <v>150</v>
      </c>
      <c r="P332" s="15">
        <f>O332*$S$3</f>
        <v>2.25</v>
      </c>
      <c r="Q332" s="15">
        <f>O332*$S$4</f>
        <v>3</v>
      </c>
    </row>
    <row r="333" spans="1:17">
      <c r="A333" s="2">
        <v>594</v>
      </c>
      <c r="B333" s="4">
        <f>DAY(G333)</f>
        <v>1</v>
      </c>
      <c r="C333" s="4">
        <f>MONTH(G333)</f>
        <v>9</v>
      </c>
      <c r="D333" s="4">
        <f>YEAR(G333)</f>
        <v>2023</v>
      </c>
      <c r="E333" s="4" t="str">
        <f>TEXT(G333,"dddd")</f>
        <v>Friday</v>
      </c>
      <c r="F333" s="4" t="str">
        <f>TEXT(G333,"mmm")</f>
        <v>Sep</v>
      </c>
      <c r="G333" s="3">
        <v>45170</v>
      </c>
      <c r="H333" s="4" t="s">
        <v>366</v>
      </c>
      <c r="I333" s="4" t="s">
        <v>29</v>
      </c>
      <c r="J333" s="4" t="str" cm="1">
        <f t="array" ref="J333">_xlfn.IFS(K333&lt;30,"Young Adult",K333&lt;=50,"Adult",K333&gt;50,"Senior")</f>
        <v>Young Adult</v>
      </c>
      <c r="K333" s="4">
        <v>19</v>
      </c>
      <c r="L333" s="4" t="s">
        <v>9</v>
      </c>
      <c r="M333" s="4">
        <v>2</v>
      </c>
      <c r="N333" s="19">
        <v>300</v>
      </c>
      <c r="O333" s="15">
        <f>M333 * N333</f>
        <v>600</v>
      </c>
      <c r="P333" s="15">
        <f>O333*$S$3</f>
        <v>9</v>
      </c>
      <c r="Q333" s="15">
        <f>O333*$S$4</f>
        <v>12</v>
      </c>
    </row>
    <row r="334" spans="1:17">
      <c r="A334" s="2">
        <v>574</v>
      </c>
      <c r="B334" s="4">
        <f>DAY(G334)</f>
        <v>31</v>
      </c>
      <c r="C334" s="4">
        <f>MONTH(G334)</f>
        <v>8</v>
      </c>
      <c r="D334" s="4">
        <f>YEAR(G334)</f>
        <v>2023</v>
      </c>
      <c r="E334" s="4" t="str">
        <f>TEXT(G334,"dddd")</f>
        <v>Thursday</v>
      </c>
      <c r="F334" s="4" t="str">
        <f>TEXT(G334,"mmm")</f>
        <v>Aug</v>
      </c>
      <c r="G334" s="3">
        <v>45169</v>
      </c>
      <c r="H334" s="4" t="s">
        <v>367</v>
      </c>
      <c r="I334" s="4" t="s">
        <v>29</v>
      </c>
      <c r="J334" s="4" t="str" cm="1">
        <f t="array" ref="J334">_xlfn.IFS(K334&lt;30,"Young Adult",K334&lt;=50,"Adult",K334&gt;50,"Senior")</f>
        <v>Senior</v>
      </c>
      <c r="K334" s="4">
        <v>63</v>
      </c>
      <c r="L334" s="4" t="s">
        <v>9</v>
      </c>
      <c r="M334" s="4">
        <v>2</v>
      </c>
      <c r="N334" s="19">
        <v>25</v>
      </c>
      <c r="O334" s="15">
        <f>M334 * N334</f>
        <v>50</v>
      </c>
      <c r="P334" s="15">
        <f>O334*$S$3</f>
        <v>0.75</v>
      </c>
      <c r="Q334" s="15">
        <f>O334*$S$4</f>
        <v>1</v>
      </c>
    </row>
    <row r="335" spans="1:17">
      <c r="A335" s="2">
        <v>871</v>
      </c>
      <c r="B335" s="4">
        <f>DAY(G335)</f>
        <v>31</v>
      </c>
      <c r="C335" s="4">
        <f>MONTH(G335)</f>
        <v>8</v>
      </c>
      <c r="D335" s="4">
        <f>YEAR(G335)</f>
        <v>2023</v>
      </c>
      <c r="E335" s="4" t="str">
        <f>TEXT(G335,"dddd")</f>
        <v>Thursday</v>
      </c>
      <c r="F335" s="4" t="str">
        <f>TEXT(G335,"mmm")</f>
        <v>Aug</v>
      </c>
      <c r="G335" s="3">
        <v>45169</v>
      </c>
      <c r="H335" s="4" t="s">
        <v>368</v>
      </c>
      <c r="I335" s="4" t="s">
        <v>24</v>
      </c>
      <c r="J335" s="4" t="str" cm="1">
        <f t="array" ref="J335">_xlfn.IFS(K335&lt;30,"Young Adult",K335&lt;=50,"Adult",K335&gt;50,"Senior")</f>
        <v>Senior</v>
      </c>
      <c r="K335" s="4">
        <v>62</v>
      </c>
      <c r="L335" s="4" t="s">
        <v>7</v>
      </c>
      <c r="M335" s="4">
        <v>2</v>
      </c>
      <c r="N335" s="19">
        <v>30</v>
      </c>
      <c r="O335" s="15">
        <f>M335 * N335</f>
        <v>60</v>
      </c>
      <c r="P335" s="15">
        <f>O335*$S$3</f>
        <v>0.89999999999999991</v>
      </c>
      <c r="Q335" s="15">
        <f>O335*$S$4</f>
        <v>1.2</v>
      </c>
    </row>
    <row r="336" spans="1:17">
      <c r="A336" s="2">
        <v>251</v>
      </c>
      <c r="B336" s="4">
        <f>DAY(G336)</f>
        <v>31</v>
      </c>
      <c r="C336" s="4">
        <f>MONTH(G336)</f>
        <v>8</v>
      </c>
      <c r="D336" s="4">
        <f>YEAR(G336)</f>
        <v>2023</v>
      </c>
      <c r="E336" s="4" t="str">
        <f>TEXT(G336,"dddd")</f>
        <v>Thursday</v>
      </c>
      <c r="F336" s="4" t="str">
        <f>TEXT(G336,"mmm")</f>
        <v>Aug</v>
      </c>
      <c r="G336" s="3">
        <v>45169</v>
      </c>
      <c r="H336" s="4" t="s">
        <v>369</v>
      </c>
      <c r="I336" s="4" t="s">
        <v>29</v>
      </c>
      <c r="J336" s="4" t="str" cm="1">
        <f t="array" ref="J336">_xlfn.IFS(K336&lt;30,"Young Adult",K336&lt;=50,"Adult",K336&gt;50,"Senior")</f>
        <v>Senior</v>
      </c>
      <c r="K336" s="4">
        <v>57</v>
      </c>
      <c r="L336" s="4" t="s">
        <v>7</v>
      </c>
      <c r="M336" s="4">
        <v>4</v>
      </c>
      <c r="N336" s="19">
        <v>50</v>
      </c>
      <c r="O336" s="15">
        <f>M336 * N336</f>
        <v>200</v>
      </c>
      <c r="P336" s="15">
        <f>O336*$S$3</f>
        <v>3</v>
      </c>
      <c r="Q336" s="15">
        <f>O336*$S$4</f>
        <v>4</v>
      </c>
    </row>
    <row r="337" spans="1:17">
      <c r="A337" s="2">
        <v>253</v>
      </c>
      <c r="B337" s="4">
        <f>DAY(G337)</f>
        <v>31</v>
      </c>
      <c r="C337" s="4">
        <f>MONTH(G337)</f>
        <v>8</v>
      </c>
      <c r="D337" s="4">
        <f>YEAR(G337)</f>
        <v>2023</v>
      </c>
      <c r="E337" s="4" t="str">
        <f>TEXT(G337,"dddd")</f>
        <v>Thursday</v>
      </c>
      <c r="F337" s="4" t="str">
        <f>TEXT(G337,"mmm")</f>
        <v>Aug</v>
      </c>
      <c r="G337" s="3">
        <v>45169</v>
      </c>
      <c r="H337" s="4" t="s">
        <v>370</v>
      </c>
      <c r="I337" s="4" t="s">
        <v>29</v>
      </c>
      <c r="J337" s="4" t="str" cm="1">
        <f t="array" ref="J337">_xlfn.IFS(K337&lt;30,"Young Adult",K337&lt;=50,"Adult",K337&gt;50,"Senior")</f>
        <v>Senior</v>
      </c>
      <c r="K337" s="4">
        <v>53</v>
      </c>
      <c r="L337" s="4" t="s">
        <v>8</v>
      </c>
      <c r="M337" s="4">
        <v>4</v>
      </c>
      <c r="N337" s="19">
        <v>500</v>
      </c>
      <c r="O337" s="15">
        <f>M337 * N337</f>
        <v>2000</v>
      </c>
      <c r="P337" s="15">
        <f>O337*$S$3</f>
        <v>30</v>
      </c>
      <c r="Q337" s="15">
        <f>O337*$S$4</f>
        <v>40</v>
      </c>
    </row>
    <row r="338" spans="1:17">
      <c r="A338" s="2">
        <v>751</v>
      </c>
      <c r="B338" s="4">
        <f>DAY(G338)</f>
        <v>31</v>
      </c>
      <c r="C338" s="4">
        <f>MONTH(G338)</f>
        <v>8</v>
      </c>
      <c r="D338" s="4">
        <f>YEAR(G338)</f>
        <v>2023</v>
      </c>
      <c r="E338" s="4" t="str">
        <f>TEXT(G338,"dddd")</f>
        <v>Thursday</v>
      </c>
      <c r="F338" s="4" t="str">
        <f>TEXT(G338,"mmm")</f>
        <v>Aug</v>
      </c>
      <c r="G338" s="3">
        <v>45169</v>
      </c>
      <c r="H338" s="4" t="s">
        <v>371</v>
      </c>
      <c r="I338" s="4" t="s">
        <v>29</v>
      </c>
      <c r="J338" s="4" t="str" cm="1">
        <f t="array" ref="J338">_xlfn.IFS(K338&lt;30,"Young Adult",K338&lt;=50,"Adult",K338&gt;50,"Senior")</f>
        <v>Adult</v>
      </c>
      <c r="K338" s="4">
        <v>42</v>
      </c>
      <c r="L338" s="4" t="s">
        <v>8</v>
      </c>
      <c r="M338" s="4">
        <v>2</v>
      </c>
      <c r="N338" s="19">
        <v>25</v>
      </c>
      <c r="O338" s="15">
        <f>M338 * N338</f>
        <v>50</v>
      </c>
      <c r="P338" s="15">
        <f>O338*$S$3</f>
        <v>0.75</v>
      </c>
      <c r="Q338" s="15">
        <f>O338*$S$4</f>
        <v>1</v>
      </c>
    </row>
    <row r="339" spans="1:17">
      <c r="A339" s="2">
        <v>984</v>
      </c>
      <c r="B339" s="4">
        <f>DAY(G339)</f>
        <v>29</v>
      </c>
      <c r="C339" s="4">
        <f>MONTH(G339)</f>
        <v>8</v>
      </c>
      <c r="D339" s="4">
        <f>YEAR(G339)</f>
        <v>2023</v>
      </c>
      <c r="E339" s="4" t="str">
        <f>TEXT(G339,"dddd")</f>
        <v>Tuesday</v>
      </c>
      <c r="F339" s="4" t="str">
        <f>TEXT(G339,"mmm")</f>
        <v>Aug</v>
      </c>
      <c r="G339" s="3">
        <v>45167</v>
      </c>
      <c r="H339" s="4" t="s">
        <v>372</v>
      </c>
      <c r="I339" s="4" t="s">
        <v>24</v>
      </c>
      <c r="J339" s="4" t="str" cm="1">
        <f t="array" ref="J339">_xlfn.IFS(K339&lt;30,"Young Adult",K339&lt;=50,"Adult",K339&gt;50,"Senior")</f>
        <v>Senior</v>
      </c>
      <c r="K339" s="4">
        <v>56</v>
      </c>
      <c r="L339" s="4" t="s">
        <v>8</v>
      </c>
      <c r="M339" s="4">
        <v>1</v>
      </c>
      <c r="N339" s="19">
        <v>500</v>
      </c>
      <c r="O339" s="15">
        <f>M339 * N339</f>
        <v>500</v>
      </c>
      <c r="P339" s="15">
        <f>O339*$S$3</f>
        <v>7.5</v>
      </c>
      <c r="Q339" s="15">
        <f>O339*$S$4</f>
        <v>10</v>
      </c>
    </row>
    <row r="340" spans="1:17">
      <c r="A340" s="2">
        <v>924</v>
      </c>
      <c r="B340" s="4">
        <f>DAY(G340)</f>
        <v>29</v>
      </c>
      <c r="C340" s="4">
        <f>MONTH(G340)</f>
        <v>8</v>
      </c>
      <c r="D340" s="4">
        <f>YEAR(G340)</f>
        <v>2023</v>
      </c>
      <c r="E340" s="4" t="str">
        <f>TEXT(G340,"dddd")</f>
        <v>Tuesday</v>
      </c>
      <c r="F340" s="4" t="str">
        <f>TEXT(G340,"mmm")</f>
        <v>Aug</v>
      </c>
      <c r="G340" s="3">
        <v>45167</v>
      </c>
      <c r="H340" s="4" t="s">
        <v>373</v>
      </c>
      <c r="I340" s="4" t="s">
        <v>24</v>
      </c>
      <c r="J340" s="4" t="str" cm="1">
        <f t="array" ref="J340">_xlfn.IFS(K340&lt;30,"Young Adult",K340&lt;=50,"Adult",K340&gt;50,"Senior")</f>
        <v>Senior</v>
      </c>
      <c r="K340" s="4">
        <v>55</v>
      </c>
      <c r="L340" s="4" t="s">
        <v>7</v>
      </c>
      <c r="M340" s="4">
        <v>2</v>
      </c>
      <c r="N340" s="19">
        <v>50</v>
      </c>
      <c r="O340" s="15">
        <f>M340 * N340</f>
        <v>100</v>
      </c>
      <c r="P340" s="15">
        <f>O340*$S$3</f>
        <v>1.5</v>
      </c>
      <c r="Q340" s="15">
        <f>O340*$S$4</f>
        <v>2</v>
      </c>
    </row>
    <row r="341" spans="1:17">
      <c r="A341" s="2">
        <v>733</v>
      </c>
      <c r="B341" s="4">
        <f>DAY(G341)</f>
        <v>29</v>
      </c>
      <c r="C341" s="4">
        <f>MONTH(G341)</f>
        <v>8</v>
      </c>
      <c r="D341" s="4">
        <f>YEAR(G341)</f>
        <v>2023</v>
      </c>
      <c r="E341" s="4" t="str">
        <f>TEXT(G341,"dddd")</f>
        <v>Tuesday</v>
      </c>
      <c r="F341" s="4" t="str">
        <f>TEXT(G341,"mmm")</f>
        <v>Aug</v>
      </c>
      <c r="G341" s="3">
        <v>45167</v>
      </c>
      <c r="H341" s="4" t="s">
        <v>374</v>
      </c>
      <c r="I341" s="4" t="s">
        <v>24</v>
      </c>
      <c r="J341" s="4" t="str" cm="1">
        <f t="array" ref="J341">_xlfn.IFS(K341&lt;30,"Young Adult",K341&lt;=50,"Adult",K341&gt;50,"Senior")</f>
        <v>Adult</v>
      </c>
      <c r="K341" s="4">
        <v>34</v>
      </c>
      <c r="L341" s="4" t="s">
        <v>7</v>
      </c>
      <c r="M341" s="4">
        <v>1</v>
      </c>
      <c r="N341" s="19">
        <v>30</v>
      </c>
      <c r="O341" s="15">
        <f>M341 * N341</f>
        <v>30</v>
      </c>
      <c r="P341" s="15">
        <f>O341*$S$3</f>
        <v>0.44999999999999996</v>
      </c>
      <c r="Q341" s="15">
        <f>O341*$S$4</f>
        <v>0.6</v>
      </c>
    </row>
    <row r="342" spans="1:17">
      <c r="A342" s="2">
        <v>476</v>
      </c>
      <c r="B342" s="4">
        <f>DAY(G342)</f>
        <v>29</v>
      </c>
      <c r="C342" s="4">
        <f>MONTH(G342)</f>
        <v>8</v>
      </c>
      <c r="D342" s="4">
        <f>YEAR(G342)</f>
        <v>2023</v>
      </c>
      <c r="E342" s="4" t="str">
        <f>TEXT(G342,"dddd")</f>
        <v>Tuesday</v>
      </c>
      <c r="F342" s="4" t="str">
        <f>TEXT(G342,"mmm")</f>
        <v>Aug</v>
      </c>
      <c r="G342" s="3">
        <v>45167</v>
      </c>
      <c r="H342" s="4" t="s">
        <v>375</v>
      </c>
      <c r="I342" s="4" t="s">
        <v>29</v>
      </c>
      <c r="J342" s="4" t="str" cm="1">
        <f t="array" ref="J342">_xlfn.IFS(K342&lt;30,"Young Adult",K342&lt;=50,"Adult",K342&gt;50,"Senior")</f>
        <v>Young Adult</v>
      </c>
      <c r="K342" s="4">
        <v>27</v>
      </c>
      <c r="L342" s="4" t="s">
        <v>8</v>
      </c>
      <c r="M342" s="4">
        <v>4</v>
      </c>
      <c r="N342" s="19">
        <v>500</v>
      </c>
      <c r="O342" s="15">
        <f>M342 * N342</f>
        <v>2000</v>
      </c>
      <c r="P342" s="15">
        <f>O342*$S$3</f>
        <v>30</v>
      </c>
      <c r="Q342" s="15">
        <f>O342*$S$4</f>
        <v>40</v>
      </c>
    </row>
    <row r="343" spans="1:17">
      <c r="A343" s="2">
        <v>704</v>
      </c>
      <c r="B343" s="4">
        <f>DAY(G343)</f>
        <v>28</v>
      </c>
      <c r="C343" s="4">
        <f>MONTH(G343)</f>
        <v>8</v>
      </c>
      <c r="D343" s="4">
        <f>YEAR(G343)</f>
        <v>2023</v>
      </c>
      <c r="E343" s="4" t="str">
        <f>TEXT(G343,"dddd")</f>
        <v>Monday</v>
      </c>
      <c r="F343" s="4" t="str">
        <f>TEXT(G343,"mmm")</f>
        <v>Aug</v>
      </c>
      <c r="G343" s="3">
        <v>45166</v>
      </c>
      <c r="H343" s="4" t="s">
        <v>376</v>
      </c>
      <c r="I343" s="4" t="s">
        <v>29</v>
      </c>
      <c r="J343" s="4" t="str" cm="1">
        <f t="array" ref="J343">_xlfn.IFS(K343&lt;30,"Young Adult",K343&lt;=50,"Adult",K343&gt;50,"Senior")</f>
        <v>Senior</v>
      </c>
      <c r="K343" s="4">
        <v>62</v>
      </c>
      <c r="L343" s="4" t="s">
        <v>8</v>
      </c>
      <c r="M343" s="4">
        <v>3</v>
      </c>
      <c r="N343" s="19">
        <v>30</v>
      </c>
      <c r="O343" s="15">
        <f>M343 * N343</f>
        <v>90</v>
      </c>
      <c r="P343" s="15">
        <f>O343*$S$3</f>
        <v>1.3499999999999999</v>
      </c>
      <c r="Q343" s="15">
        <f>O343*$S$4</f>
        <v>1.8</v>
      </c>
    </row>
    <row r="344" spans="1:17">
      <c r="A344" s="2">
        <v>146</v>
      </c>
      <c r="B344" s="4">
        <f>DAY(G344)</f>
        <v>28</v>
      </c>
      <c r="C344" s="4">
        <f>MONTH(G344)</f>
        <v>8</v>
      </c>
      <c r="D344" s="4">
        <f>YEAR(G344)</f>
        <v>2023</v>
      </c>
      <c r="E344" s="4" t="str">
        <f>TEXT(G344,"dddd")</f>
        <v>Monday</v>
      </c>
      <c r="F344" s="4" t="str">
        <f>TEXT(G344,"mmm")</f>
        <v>Aug</v>
      </c>
      <c r="G344" s="3">
        <v>45166</v>
      </c>
      <c r="H344" s="4" t="s">
        <v>377</v>
      </c>
      <c r="I344" s="4" t="s">
        <v>24</v>
      </c>
      <c r="J344" s="4" t="str" cm="1">
        <f t="array" ref="J344">_xlfn.IFS(K344&lt;30,"Young Adult",K344&lt;=50,"Adult",K344&gt;50,"Senior")</f>
        <v>Adult</v>
      </c>
      <c r="K344" s="4">
        <v>38</v>
      </c>
      <c r="L344" s="4" t="s">
        <v>8</v>
      </c>
      <c r="M344" s="4">
        <v>4</v>
      </c>
      <c r="N344" s="19">
        <v>50</v>
      </c>
      <c r="O344" s="15">
        <f>M344 * N344</f>
        <v>200</v>
      </c>
      <c r="P344" s="15">
        <f>O344*$S$3</f>
        <v>3</v>
      </c>
      <c r="Q344" s="15">
        <f>O344*$S$4</f>
        <v>4</v>
      </c>
    </row>
    <row r="345" spans="1:17">
      <c r="A345" s="2">
        <v>263</v>
      </c>
      <c r="B345" s="4">
        <f>DAY(G345)</f>
        <v>28</v>
      </c>
      <c r="C345" s="4">
        <f>MONTH(G345)</f>
        <v>8</v>
      </c>
      <c r="D345" s="4">
        <f>YEAR(G345)</f>
        <v>2023</v>
      </c>
      <c r="E345" s="4" t="str">
        <f>TEXT(G345,"dddd")</f>
        <v>Monday</v>
      </c>
      <c r="F345" s="4" t="str">
        <f>TEXT(G345,"mmm")</f>
        <v>Aug</v>
      </c>
      <c r="G345" s="3">
        <v>45166</v>
      </c>
      <c r="H345" s="4" t="s">
        <v>378</v>
      </c>
      <c r="I345" s="4" t="s">
        <v>24</v>
      </c>
      <c r="J345" s="4" t="str" cm="1">
        <f t="array" ref="J345">_xlfn.IFS(K345&lt;30,"Young Adult",K345&lt;=50,"Adult",K345&gt;50,"Senior")</f>
        <v>Young Adult</v>
      </c>
      <c r="K345" s="4">
        <v>23</v>
      </c>
      <c r="L345" s="4" t="s">
        <v>7</v>
      </c>
      <c r="M345" s="4">
        <v>2</v>
      </c>
      <c r="N345" s="19">
        <v>30</v>
      </c>
      <c r="O345" s="15">
        <f>M345 * N345</f>
        <v>60</v>
      </c>
      <c r="P345" s="15">
        <f>O345*$S$3</f>
        <v>0.89999999999999991</v>
      </c>
      <c r="Q345" s="15">
        <f>O345*$S$4</f>
        <v>1.2</v>
      </c>
    </row>
    <row r="346" spans="1:17">
      <c r="A346" s="2">
        <v>671</v>
      </c>
      <c r="B346" s="4">
        <f>DAY(G346)</f>
        <v>27</v>
      </c>
      <c r="C346" s="4">
        <f>MONTH(G346)</f>
        <v>8</v>
      </c>
      <c r="D346" s="4">
        <f>YEAR(G346)</f>
        <v>2023</v>
      </c>
      <c r="E346" s="4" t="str">
        <f>TEXT(G346,"dddd")</f>
        <v>Sunday</v>
      </c>
      <c r="F346" s="4" t="str">
        <f>TEXT(G346,"mmm")</f>
        <v>Aug</v>
      </c>
      <c r="G346" s="3">
        <v>45165</v>
      </c>
      <c r="H346" s="4" t="s">
        <v>379</v>
      </c>
      <c r="I346" s="4" t="s">
        <v>24</v>
      </c>
      <c r="J346" s="4" t="str" cm="1">
        <f t="array" ref="J346">_xlfn.IFS(K346&lt;30,"Young Adult",K346&lt;=50,"Adult",K346&gt;50,"Senior")</f>
        <v>Senior</v>
      </c>
      <c r="K346" s="4">
        <v>62</v>
      </c>
      <c r="L346" s="4" t="s">
        <v>9</v>
      </c>
      <c r="M346" s="4">
        <v>3</v>
      </c>
      <c r="N346" s="19">
        <v>50</v>
      </c>
      <c r="O346" s="15">
        <f>M346 * N346</f>
        <v>150</v>
      </c>
      <c r="P346" s="15">
        <f>O346*$S$3</f>
        <v>2.25</v>
      </c>
      <c r="Q346" s="15">
        <f>O346*$S$4</f>
        <v>3</v>
      </c>
    </row>
    <row r="347" spans="1:17">
      <c r="A347" s="2">
        <v>756</v>
      </c>
      <c r="B347" s="4">
        <f>DAY(G347)</f>
        <v>27</v>
      </c>
      <c r="C347" s="4">
        <f>MONTH(G347)</f>
        <v>8</v>
      </c>
      <c r="D347" s="4">
        <f>YEAR(G347)</f>
        <v>2023</v>
      </c>
      <c r="E347" s="4" t="str">
        <f>TEXT(G347,"dddd")</f>
        <v>Sunday</v>
      </c>
      <c r="F347" s="4" t="str">
        <f>TEXT(G347,"mmm")</f>
        <v>Aug</v>
      </c>
      <c r="G347" s="3">
        <v>45165</v>
      </c>
      <c r="H347" s="4" t="s">
        <v>380</v>
      </c>
      <c r="I347" s="4" t="s">
        <v>29</v>
      </c>
      <c r="J347" s="4" t="str" cm="1">
        <f t="array" ref="J347">_xlfn.IFS(K347&lt;30,"Young Adult",K347&lt;=50,"Adult",K347&gt;50,"Senior")</f>
        <v>Senior</v>
      </c>
      <c r="K347" s="4">
        <v>62</v>
      </c>
      <c r="L347" s="4" t="s">
        <v>9</v>
      </c>
      <c r="M347" s="4">
        <v>4</v>
      </c>
      <c r="N347" s="19">
        <v>300</v>
      </c>
      <c r="O347" s="15">
        <f>M347 * N347</f>
        <v>1200</v>
      </c>
      <c r="P347" s="15">
        <f>O347*$S$3</f>
        <v>18</v>
      </c>
      <c r="Q347" s="15">
        <f>O347*$S$4</f>
        <v>24</v>
      </c>
    </row>
    <row r="348" spans="1:17">
      <c r="A348" s="2">
        <v>568</v>
      </c>
      <c r="B348" s="4">
        <f>DAY(G348)</f>
        <v>27</v>
      </c>
      <c r="C348" s="4">
        <f>MONTH(G348)</f>
        <v>8</v>
      </c>
      <c r="D348" s="4">
        <f>YEAR(G348)</f>
        <v>2023</v>
      </c>
      <c r="E348" s="4" t="str">
        <f>TEXT(G348,"dddd")</f>
        <v>Sunday</v>
      </c>
      <c r="F348" s="4" t="str">
        <f>TEXT(G348,"mmm")</f>
        <v>Aug</v>
      </c>
      <c r="G348" s="3">
        <v>45165</v>
      </c>
      <c r="H348" s="4" t="s">
        <v>381</v>
      </c>
      <c r="I348" s="4" t="s">
        <v>29</v>
      </c>
      <c r="J348" s="4" t="str" cm="1">
        <f t="array" ref="J348">_xlfn.IFS(K348&lt;30,"Young Adult",K348&lt;=50,"Adult",K348&gt;50,"Senior")</f>
        <v>Senior</v>
      </c>
      <c r="K348" s="4">
        <v>51</v>
      </c>
      <c r="L348" s="4" t="s">
        <v>9</v>
      </c>
      <c r="M348" s="4">
        <v>1</v>
      </c>
      <c r="N348" s="19">
        <v>300</v>
      </c>
      <c r="O348" s="15">
        <f>M348 * N348</f>
        <v>300</v>
      </c>
      <c r="P348" s="15">
        <f>O348*$S$3</f>
        <v>4.5</v>
      </c>
      <c r="Q348" s="15">
        <f>O348*$S$4</f>
        <v>6</v>
      </c>
    </row>
    <row r="349" spans="1:17">
      <c r="A349" s="2">
        <v>815</v>
      </c>
      <c r="B349" s="4">
        <f>DAY(G349)</f>
        <v>27</v>
      </c>
      <c r="C349" s="4">
        <f>MONTH(G349)</f>
        <v>8</v>
      </c>
      <c r="D349" s="4">
        <f>YEAR(G349)</f>
        <v>2023</v>
      </c>
      <c r="E349" s="4" t="str">
        <f>TEXT(G349,"dddd")</f>
        <v>Sunday</v>
      </c>
      <c r="F349" s="4" t="str">
        <f>TEXT(G349,"mmm")</f>
        <v>Aug</v>
      </c>
      <c r="G349" s="3">
        <v>45165</v>
      </c>
      <c r="H349" s="4" t="s">
        <v>382</v>
      </c>
      <c r="I349" s="4" t="s">
        <v>29</v>
      </c>
      <c r="J349" s="4" t="str" cm="1">
        <f t="array" ref="J349">_xlfn.IFS(K349&lt;30,"Young Adult",K349&lt;=50,"Adult",K349&gt;50,"Senior")</f>
        <v>Senior</v>
      </c>
      <c r="K349" s="4">
        <v>51</v>
      </c>
      <c r="L349" s="4" t="s">
        <v>8</v>
      </c>
      <c r="M349" s="4">
        <v>3</v>
      </c>
      <c r="N349" s="19">
        <v>25</v>
      </c>
      <c r="O349" s="15">
        <f>M349 * N349</f>
        <v>75</v>
      </c>
      <c r="P349" s="15">
        <f>O349*$S$3</f>
        <v>1.125</v>
      </c>
      <c r="Q349" s="15">
        <f>O349*$S$4</f>
        <v>1.5</v>
      </c>
    </row>
    <row r="350" spans="1:17">
      <c r="A350" s="2">
        <v>825</v>
      </c>
      <c r="B350" s="4">
        <f>DAY(G350)</f>
        <v>26</v>
      </c>
      <c r="C350" s="4">
        <f>MONTH(G350)</f>
        <v>8</v>
      </c>
      <c r="D350" s="4">
        <f>YEAR(G350)</f>
        <v>2023</v>
      </c>
      <c r="E350" s="4" t="str">
        <f>TEXT(G350,"dddd")</f>
        <v>Saturday</v>
      </c>
      <c r="F350" s="4" t="str">
        <f>TEXT(G350,"mmm")</f>
        <v>Aug</v>
      </c>
      <c r="G350" s="3">
        <v>45164</v>
      </c>
      <c r="H350" s="4" t="s">
        <v>383</v>
      </c>
      <c r="I350" s="4" t="s">
        <v>29</v>
      </c>
      <c r="J350" s="4" t="str" cm="1">
        <f t="array" ref="J350">_xlfn.IFS(K350&lt;30,"Young Adult",K350&lt;=50,"Adult",K350&gt;50,"Senior")</f>
        <v>Adult</v>
      </c>
      <c r="K350" s="4">
        <v>46</v>
      </c>
      <c r="L350" s="4" t="s">
        <v>7</v>
      </c>
      <c r="M350" s="4">
        <v>1</v>
      </c>
      <c r="N350" s="19">
        <v>25</v>
      </c>
      <c r="O350" s="15">
        <f>M350 * N350</f>
        <v>25</v>
      </c>
      <c r="P350" s="15">
        <f>O350*$S$3</f>
        <v>0.375</v>
      </c>
      <c r="Q350" s="15">
        <f>O350*$S$4</f>
        <v>0.5</v>
      </c>
    </row>
    <row r="351" spans="1:17">
      <c r="A351" s="2">
        <v>617</v>
      </c>
      <c r="B351" s="4">
        <f>DAY(G351)</f>
        <v>26</v>
      </c>
      <c r="C351" s="4">
        <f>MONTH(G351)</f>
        <v>8</v>
      </c>
      <c r="D351" s="4">
        <f>YEAR(G351)</f>
        <v>2023</v>
      </c>
      <c r="E351" s="4" t="str">
        <f>TEXT(G351,"dddd")</f>
        <v>Saturday</v>
      </c>
      <c r="F351" s="4" t="str">
        <f>TEXT(G351,"mmm")</f>
        <v>Aug</v>
      </c>
      <c r="G351" s="3">
        <v>45164</v>
      </c>
      <c r="H351" s="4" t="s">
        <v>384</v>
      </c>
      <c r="I351" s="4" t="s">
        <v>24</v>
      </c>
      <c r="J351" s="4" t="str" cm="1">
        <f t="array" ref="J351">_xlfn.IFS(K351&lt;30,"Young Adult",K351&lt;=50,"Adult",K351&gt;50,"Senior")</f>
        <v>Adult</v>
      </c>
      <c r="K351" s="4">
        <v>34</v>
      </c>
      <c r="L351" s="4" t="s">
        <v>9</v>
      </c>
      <c r="M351" s="4">
        <v>1</v>
      </c>
      <c r="N351" s="19">
        <v>30</v>
      </c>
      <c r="O351" s="15">
        <f>M351 * N351</f>
        <v>30</v>
      </c>
      <c r="P351" s="15">
        <f>O351*$S$3</f>
        <v>0.44999999999999996</v>
      </c>
      <c r="Q351" s="15">
        <f>O351*$S$4</f>
        <v>0.6</v>
      </c>
    </row>
    <row r="352" spans="1:17">
      <c r="A352" s="2">
        <v>624</v>
      </c>
      <c r="B352" s="4">
        <f>DAY(G352)</f>
        <v>26</v>
      </c>
      <c r="C352" s="4">
        <f>MONTH(G352)</f>
        <v>8</v>
      </c>
      <c r="D352" s="4">
        <f>YEAR(G352)</f>
        <v>2023</v>
      </c>
      <c r="E352" s="4" t="str">
        <f>TEXT(G352,"dddd")</f>
        <v>Saturday</v>
      </c>
      <c r="F352" s="4" t="str">
        <f>TEXT(G352,"mmm")</f>
        <v>Aug</v>
      </c>
      <c r="G352" s="3">
        <v>45164</v>
      </c>
      <c r="H352" s="4" t="s">
        <v>385</v>
      </c>
      <c r="I352" s="4" t="s">
        <v>29</v>
      </c>
      <c r="J352" s="4" t="str" cm="1">
        <f t="array" ref="J352">_xlfn.IFS(K352&lt;30,"Young Adult",K352&lt;=50,"Adult",K352&gt;50,"Senior")</f>
        <v>Adult</v>
      </c>
      <c r="K352" s="4">
        <v>34</v>
      </c>
      <c r="L352" s="4" t="s">
        <v>7</v>
      </c>
      <c r="M352" s="4">
        <v>3</v>
      </c>
      <c r="N352" s="19">
        <v>300</v>
      </c>
      <c r="O352" s="15">
        <f>M352 * N352</f>
        <v>900</v>
      </c>
      <c r="P352" s="15">
        <f>O352*$S$3</f>
        <v>13.5</v>
      </c>
      <c r="Q352" s="15">
        <f>O352*$S$4</f>
        <v>18</v>
      </c>
    </row>
    <row r="353" spans="1:17">
      <c r="A353" s="2">
        <v>282</v>
      </c>
      <c r="B353" s="4">
        <f>DAY(G353)</f>
        <v>25</v>
      </c>
      <c r="C353" s="4">
        <f>MONTH(G353)</f>
        <v>8</v>
      </c>
      <c r="D353" s="4">
        <f>YEAR(G353)</f>
        <v>2023</v>
      </c>
      <c r="E353" s="4" t="str">
        <f>TEXT(G353,"dddd")</f>
        <v>Friday</v>
      </c>
      <c r="F353" s="4" t="str">
        <f>TEXT(G353,"mmm")</f>
        <v>Aug</v>
      </c>
      <c r="G353" s="3">
        <v>45163</v>
      </c>
      <c r="H353" s="4" t="s">
        <v>386</v>
      </c>
      <c r="I353" s="4" t="s">
        <v>29</v>
      </c>
      <c r="J353" s="4" t="str" cm="1">
        <f t="array" ref="J353">_xlfn.IFS(K353&lt;30,"Young Adult",K353&lt;=50,"Adult",K353&gt;50,"Senior")</f>
        <v>Senior</v>
      </c>
      <c r="K353" s="4">
        <v>64</v>
      </c>
      <c r="L353" s="4" t="s">
        <v>9</v>
      </c>
      <c r="M353" s="4">
        <v>4</v>
      </c>
      <c r="N353" s="19">
        <v>50</v>
      </c>
      <c r="O353" s="15">
        <f>M353 * N353</f>
        <v>200</v>
      </c>
      <c r="P353" s="15">
        <f>O353*$S$3</f>
        <v>3</v>
      </c>
      <c r="Q353" s="15">
        <f>O353*$S$4</f>
        <v>4</v>
      </c>
    </row>
    <row r="354" spans="1:17">
      <c r="A354" s="2">
        <v>718</v>
      </c>
      <c r="B354" s="4">
        <f>DAY(G354)</f>
        <v>25</v>
      </c>
      <c r="C354" s="4">
        <f>MONTH(G354)</f>
        <v>8</v>
      </c>
      <c r="D354" s="4">
        <f>YEAR(G354)</f>
        <v>2023</v>
      </c>
      <c r="E354" s="4" t="str">
        <f>TEXT(G354,"dddd")</f>
        <v>Friday</v>
      </c>
      <c r="F354" s="4" t="str">
        <f>TEXT(G354,"mmm")</f>
        <v>Aug</v>
      </c>
      <c r="G354" s="3">
        <v>45163</v>
      </c>
      <c r="H354" s="4" t="s">
        <v>387</v>
      </c>
      <c r="I354" s="4" t="s">
        <v>29</v>
      </c>
      <c r="J354" s="4" t="str" cm="1">
        <f t="array" ref="J354">_xlfn.IFS(K354&lt;30,"Young Adult",K354&lt;=50,"Adult",K354&gt;50,"Senior")</f>
        <v>Senior</v>
      </c>
      <c r="K354" s="4">
        <v>59</v>
      </c>
      <c r="L354" s="4" t="s">
        <v>7</v>
      </c>
      <c r="M354" s="4">
        <v>3</v>
      </c>
      <c r="N354" s="19">
        <v>25</v>
      </c>
      <c r="O354" s="15">
        <f>M354 * N354</f>
        <v>75</v>
      </c>
      <c r="P354" s="15">
        <f>O354*$S$3</f>
        <v>1.125</v>
      </c>
      <c r="Q354" s="15">
        <f>O354*$S$4</f>
        <v>1.5</v>
      </c>
    </row>
    <row r="355" spans="1:17">
      <c r="A355" s="2">
        <v>92</v>
      </c>
      <c r="B355" s="4">
        <f>DAY(G355)</f>
        <v>25</v>
      </c>
      <c r="C355" s="4">
        <f>MONTH(G355)</f>
        <v>8</v>
      </c>
      <c r="D355" s="4">
        <f>YEAR(G355)</f>
        <v>2023</v>
      </c>
      <c r="E355" s="4" t="str">
        <f>TEXT(G355,"dddd")</f>
        <v>Friday</v>
      </c>
      <c r="F355" s="4" t="str">
        <f>TEXT(G355,"mmm")</f>
        <v>Aug</v>
      </c>
      <c r="G355" s="3">
        <v>45163</v>
      </c>
      <c r="H355" s="4" t="s">
        <v>388</v>
      </c>
      <c r="I355" s="4" t="s">
        <v>29</v>
      </c>
      <c r="J355" s="4" t="str" cm="1">
        <f t="array" ref="J355">_xlfn.IFS(K355&lt;30,"Young Adult",K355&lt;=50,"Adult",K355&gt;50,"Senior")</f>
        <v>Senior</v>
      </c>
      <c r="K355" s="4">
        <v>51</v>
      </c>
      <c r="L355" s="4" t="s">
        <v>9</v>
      </c>
      <c r="M355" s="4">
        <v>4</v>
      </c>
      <c r="N355" s="19">
        <v>30</v>
      </c>
      <c r="O355" s="15">
        <f>M355 * N355</f>
        <v>120</v>
      </c>
      <c r="P355" s="15">
        <f>O355*$S$3</f>
        <v>1.7999999999999998</v>
      </c>
      <c r="Q355" s="15">
        <f>O355*$S$4</f>
        <v>2.4</v>
      </c>
    </row>
    <row r="356" spans="1:17">
      <c r="A356" s="2">
        <v>479</v>
      </c>
      <c r="B356" s="4">
        <f>DAY(G356)</f>
        <v>24</v>
      </c>
      <c r="C356" s="4">
        <f>MONTH(G356)</f>
        <v>8</v>
      </c>
      <c r="D356" s="4">
        <f>YEAR(G356)</f>
        <v>2023</v>
      </c>
      <c r="E356" s="4" t="str">
        <f>TEXT(G356,"dddd")</f>
        <v>Thursday</v>
      </c>
      <c r="F356" s="4" t="str">
        <f>TEXT(G356,"mmm")</f>
        <v>Aug</v>
      </c>
      <c r="G356" s="3">
        <v>45162</v>
      </c>
      <c r="H356" s="4" t="s">
        <v>389</v>
      </c>
      <c r="I356" s="4" t="s">
        <v>24</v>
      </c>
      <c r="J356" s="4" t="str" cm="1">
        <f t="array" ref="J356">_xlfn.IFS(K356&lt;30,"Young Adult",K356&lt;=50,"Adult",K356&gt;50,"Senior")</f>
        <v>Senior</v>
      </c>
      <c r="K356" s="4">
        <v>52</v>
      </c>
      <c r="L356" s="4" t="s">
        <v>9</v>
      </c>
      <c r="M356" s="4">
        <v>4</v>
      </c>
      <c r="N356" s="19">
        <v>300</v>
      </c>
      <c r="O356" s="15">
        <f>M356 * N356</f>
        <v>1200</v>
      </c>
      <c r="P356" s="15">
        <f>O356*$S$3</f>
        <v>18</v>
      </c>
      <c r="Q356" s="15">
        <f>O356*$S$4</f>
        <v>24</v>
      </c>
    </row>
    <row r="357" spans="1:17">
      <c r="A357" s="2">
        <v>804</v>
      </c>
      <c r="B357" s="4">
        <f>DAY(G357)</f>
        <v>24</v>
      </c>
      <c r="C357" s="4">
        <f>MONTH(G357)</f>
        <v>8</v>
      </c>
      <c r="D357" s="4">
        <f>YEAR(G357)</f>
        <v>2023</v>
      </c>
      <c r="E357" s="4" t="str">
        <f>TEXT(G357,"dddd")</f>
        <v>Thursday</v>
      </c>
      <c r="F357" s="4" t="str">
        <f>TEXT(G357,"mmm")</f>
        <v>Aug</v>
      </c>
      <c r="G357" s="3">
        <v>45162</v>
      </c>
      <c r="H357" s="4" t="s">
        <v>390</v>
      </c>
      <c r="I357" s="4" t="s">
        <v>24</v>
      </c>
      <c r="J357" s="4" t="str" cm="1">
        <f t="array" ref="J357">_xlfn.IFS(K357&lt;30,"Young Adult",K357&lt;=50,"Adult",K357&gt;50,"Senior")</f>
        <v>Adult</v>
      </c>
      <c r="K357" s="4">
        <v>42</v>
      </c>
      <c r="L357" s="4" t="s">
        <v>9</v>
      </c>
      <c r="M357" s="4">
        <v>1</v>
      </c>
      <c r="N357" s="19">
        <v>30</v>
      </c>
      <c r="O357" s="15">
        <f>M357 * N357</f>
        <v>30</v>
      </c>
      <c r="P357" s="15">
        <f>O357*$S$3</f>
        <v>0.44999999999999996</v>
      </c>
      <c r="Q357" s="15">
        <f>O357*$S$4</f>
        <v>0.6</v>
      </c>
    </row>
    <row r="358" spans="1:17">
      <c r="A358" s="2">
        <v>50</v>
      </c>
      <c r="B358" s="4">
        <f>DAY(G358)</f>
        <v>24</v>
      </c>
      <c r="C358" s="4">
        <f>MONTH(G358)</f>
        <v>8</v>
      </c>
      <c r="D358" s="4">
        <f>YEAR(G358)</f>
        <v>2023</v>
      </c>
      <c r="E358" s="4" t="str">
        <f>TEXT(G358,"dddd")</f>
        <v>Thursday</v>
      </c>
      <c r="F358" s="4" t="str">
        <f>TEXT(G358,"mmm")</f>
        <v>Aug</v>
      </c>
      <c r="G358" s="3">
        <v>45162</v>
      </c>
      <c r="H358" s="4" t="s">
        <v>391</v>
      </c>
      <c r="I358" s="4" t="s">
        <v>29</v>
      </c>
      <c r="J358" s="4" t="str" cm="1">
        <f t="array" ref="J358">_xlfn.IFS(K358&lt;30,"Young Adult",K358&lt;=50,"Adult",K358&gt;50,"Senior")</f>
        <v>Young Adult</v>
      </c>
      <c r="K358" s="4">
        <v>27</v>
      </c>
      <c r="L358" s="4" t="s">
        <v>7</v>
      </c>
      <c r="M358" s="4">
        <v>3</v>
      </c>
      <c r="N358" s="19">
        <v>25</v>
      </c>
      <c r="O358" s="15">
        <f>M358 * N358</f>
        <v>75</v>
      </c>
      <c r="P358" s="15">
        <f>O358*$S$3</f>
        <v>1.125</v>
      </c>
      <c r="Q358" s="15">
        <f>O358*$S$4</f>
        <v>1.5</v>
      </c>
    </row>
    <row r="359" spans="1:17">
      <c r="A359" s="2">
        <v>368</v>
      </c>
      <c r="B359" s="4">
        <f>DAY(G359)</f>
        <v>23</v>
      </c>
      <c r="C359" s="4">
        <f>MONTH(G359)</f>
        <v>8</v>
      </c>
      <c r="D359" s="4">
        <f>YEAR(G359)</f>
        <v>2023</v>
      </c>
      <c r="E359" s="4" t="str">
        <f>TEXT(G359,"dddd")</f>
        <v>Wednesday</v>
      </c>
      <c r="F359" s="4" t="str">
        <f>TEXT(G359,"mmm")</f>
        <v>Aug</v>
      </c>
      <c r="G359" s="3">
        <v>45161</v>
      </c>
      <c r="H359" s="4" t="s">
        <v>392</v>
      </c>
      <c r="I359" s="4" t="s">
        <v>29</v>
      </c>
      <c r="J359" s="4" t="str" cm="1">
        <f t="array" ref="J359">_xlfn.IFS(K359&lt;30,"Young Adult",K359&lt;=50,"Adult",K359&gt;50,"Senior")</f>
        <v>Senior</v>
      </c>
      <c r="K359" s="4">
        <v>56</v>
      </c>
      <c r="L359" s="4" t="s">
        <v>8</v>
      </c>
      <c r="M359" s="4">
        <v>4</v>
      </c>
      <c r="N359" s="19">
        <v>300</v>
      </c>
      <c r="O359" s="15">
        <f>M359 * N359</f>
        <v>1200</v>
      </c>
      <c r="P359" s="15">
        <f>O359*$S$3</f>
        <v>18</v>
      </c>
      <c r="Q359" s="15">
        <f>O359*$S$4</f>
        <v>24</v>
      </c>
    </row>
    <row r="360" spans="1:17">
      <c r="A360" s="2">
        <v>116</v>
      </c>
      <c r="B360" s="4">
        <f>DAY(G360)</f>
        <v>23</v>
      </c>
      <c r="C360" s="4">
        <f>MONTH(G360)</f>
        <v>8</v>
      </c>
      <c r="D360" s="4">
        <f>YEAR(G360)</f>
        <v>2023</v>
      </c>
      <c r="E360" s="4" t="str">
        <f>TEXT(G360,"dddd")</f>
        <v>Wednesday</v>
      </c>
      <c r="F360" s="4" t="str">
        <f>TEXT(G360,"mmm")</f>
        <v>Aug</v>
      </c>
      <c r="G360" s="3">
        <v>45161</v>
      </c>
      <c r="H360" s="4" t="s">
        <v>393</v>
      </c>
      <c r="I360" s="4" t="s">
        <v>29</v>
      </c>
      <c r="J360" s="4" t="str" cm="1">
        <f t="array" ref="J360">_xlfn.IFS(K360&lt;30,"Young Adult",K360&lt;=50,"Adult",K360&gt;50,"Senior")</f>
        <v>Young Adult</v>
      </c>
      <c r="K360" s="4">
        <v>23</v>
      </c>
      <c r="L360" s="4" t="s">
        <v>8</v>
      </c>
      <c r="M360" s="4">
        <v>1</v>
      </c>
      <c r="N360" s="19">
        <v>30</v>
      </c>
      <c r="O360" s="15">
        <f>M360 * N360</f>
        <v>30</v>
      </c>
      <c r="P360" s="15">
        <f>O360*$S$3</f>
        <v>0.44999999999999996</v>
      </c>
      <c r="Q360" s="15">
        <f>O360*$S$4</f>
        <v>0.6</v>
      </c>
    </row>
    <row r="361" spans="1:17">
      <c r="A361" s="2">
        <v>364</v>
      </c>
      <c r="B361" s="4">
        <f>DAY(G361)</f>
        <v>23</v>
      </c>
      <c r="C361" s="4">
        <f>MONTH(G361)</f>
        <v>8</v>
      </c>
      <c r="D361" s="4">
        <f>YEAR(G361)</f>
        <v>2023</v>
      </c>
      <c r="E361" s="4" t="str">
        <f>TEXT(G361,"dddd")</f>
        <v>Wednesday</v>
      </c>
      <c r="F361" s="4" t="str">
        <f>TEXT(G361,"mmm")</f>
        <v>Aug</v>
      </c>
      <c r="G361" s="3">
        <v>45161</v>
      </c>
      <c r="H361" s="4" t="s">
        <v>394</v>
      </c>
      <c r="I361" s="4" t="s">
        <v>29</v>
      </c>
      <c r="J361" s="4" t="str" cm="1">
        <f t="array" ref="J361">_xlfn.IFS(K361&lt;30,"Young Adult",K361&lt;=50,"Adult",K361&gt;50,"Senior")</f>
        <v>Young Adult</v>
      </c>
      <c r="K361" s="4">
        <v>19</v>
      </c>
      <c r="L361" s="4" t="s">
        <v>7</v>
      </c>
      <c r="M361" s="4">
        <v>1</v>
      </c>
      <c r="N361" s="19">
        <v>500</v>
      </c>
      <c r="O361" s="15">
        <f>M361 * N361</f>
        <v>500</v>
      </c>
      <c r="P361" s="15">
        <f>O361*$S$3</f>
        <v>7.5</v>
      </c>
      <c r="Q361" s="15">
        <f>O361*$S$4</f>
        <v>10</v>
      </c>
    </row>
    <row r="362" spans="1:17">
      <c r="A362" s="2">
        <v>622</v>
      </c>
      <c r="B362" s="4">
        <f>DAY(G362)</f>
        <v>22</v>
      </c>
      <c r="C362" s="4">
        <f>MONTH(G362)</f>
        <v>8</v>
      </c>
      <c r="D362" s="4">
        <f>YEAR(G362)</f>
        <v>2023</v>
      </c>
      <c r="E362" s="4" t="str">
        <f>TEXT(G362,"dddd")</f>
        <v>Tuesday</v>
      </c>
      <c r="F362" s="4" t="str">
        <f>TEXT(G362,"mmm")</f>
        <v>Aug</v>
      </c>
      <c r="G362" s="3">
        <v>45160</v>
      </c>
      <c r="H362" s="4" t="s">
        <v>395</v>
      </c>
      <c r="I362" s="4" t="s">
        <v>29</v>
      </c>
      <c r="J362" s="4" t="str" cm="1">
        <f t="array" ref="J362">_xlfn.IFS(K362&lt;30,"Young Adult",K362&lt;=50,"Adult",K362&gt;50,"Senior")</f>
        <v>Adult</v>
      </c>
      <c r="K362" s="4">
        <v>49</v>
      </c>
      <c r="L362" s="4" t="s">
        <v>7</v>
      </c>
      <c r="M362" s="4">
        <v>3</v>
      </c>
      <c r="N362" s="19">
        <v>25</v>
      </c>
      <c r="O362" s="15">
        <f>M362 * N362</f>
        <v>75</v>
      </c>
      <c r="P362" s="15">
        <f>O362*$S$3</f>
        <v>1.125</v>
      </c>
      <c r="Q362" s="15">
        <f>O362*$S$4</f>
        <v>1.5</v>
      </c>
    </row>
    <row r="363" spans="1:17">
      <c r="A363" s="2">
        <v>597</v>
      </c>
      <c r="B363" s="4">
        <f>DAY(G363)</f>
        <v>22</v>
      </c>
      <c r="C363" s="4">
        <f>MONTH(G363)</f>
        <v>8</v>
      </c>
      <c r="D363" s="4">
        <f>YEAR(G363)</f>
        <v>2023</v>
      </c>
      <c r="E363" s="4" t="str">
        <f>TEXT(G363,"dddd")</f>
        <v>Tuesday</v>
      </c>
      <c r="F363" s="4" t="str">
        <f>TEXT(G363,"mmm")</f>
        <v>Aug</v>
      </c>
      <c r="G363" s="3">
        <v>45160</v>
      </c>
      <c r="H363" s="4" t="s">
        <v>396</v>
      </c>
      <c r="I363" s="4" t="s">
        <v>24</v>
      </c>
      <c r="J363" s="4" t="str" cm="1">
        <f t="array" ref="J363">_xlfn.IFS(K363&lt;30,"Young Adult",K363&lt;=50,"Adult",K363&gt;50,"Senior")</f>
        <v>Young Adult</v>
      </c>
      <c r="K363" s="4">
        <v>22</v>
      </c>
      <c r="L363" s="4" t="s">
        <v>7</v>
      </c>
      <c r="M363" s="4">
        <v>4</v>
      </c>
      <c r="N363" s="19">
        <v>300</v>
      </c>
      <c r="O363" s="15">
        <f>M363 * N363</f>
        <v>1200</v>
      </c>
      <c r="P363" s="15">
        <f>O363*$S$3</f>
        <v>18</v>
      </c>
      <c r="Q363" s="15">
        <f>O363*$S$4</f>
        <v>24</v>
      </c>
    </row>
    <row r="364" spans="1:17">
      <c r="A364" s="2">
        <v>725</v>
      </c>
      <c r="B364" s="4">
        <f>DAY(G364)</f>
        <v>21</v>
      </c>
      <c r="C364" s="4">
        <f>MONTH(G364)</f>
        <v>8</v>
      </c>
      <c r="D364" s="4">
        <f>YEAR(G364)</f>
        <v>2023</v>
      </c>
      <c r="E364" s="4" t="str">
        <f>TEXT(G364,"dddd")</f>
        <v>Monday</v>
      </c>
      <c r="F364" s="4" t="str">
        <f>TEXT(G364,"mmm")</f>
        <v>Aug</v>
      </c>
      <c r="G364" s="3">
        <v>45159</v>
      </c>
      <c r="H364" s="4" t="s">
        <v>397</v>
      </c>
      <c r="I364" s="4" t="s">
        <v>24</v>
      </c>
      <c r="J364" s="4" t="str" cm="1">
        <f t="array" ref="J364">_xlfn.IFS(K364&lt;30,"Young Adult",K364&lt;=50,"Adult",K364&gt;50,"Senior")</f>
        <v>Senior</v>
      </c>
      <c r="K364" s="4">
        <v>61</v>
      </c>
      <c r="L364" s="4" t="s">
        <v>9</v>
      </c>
      <c r="M364" s="4">
        <v>1</v>
      </c>
      <c r="N364" s="19">
        <v>300</v>
      </c>
      <c r="O364" s="15">
        <f>M364 * N364</f>
        <v>300</v>
      </c>
      <c r="P364" s="15">
        <f>O364*$S$3</f>
        <v>4.5</v>
      </c>
      <c r="Q364" s="15">
        <f>O364*$S$4</f>
        <v>6</v>
      </c>
    </row>
    <row r="365" spans="1:17">
      <c r="A365" s="2">
        <v>992</v>
      </c>
      <c r="B365" s="4">
        <f>DAY(G365)</f>
        <v>21</v>
      </c>
      <c r="C365" s="4">
        <f>MONTH(G365)</f>
        <v>8</v>
      </c>
      <c r="D365" s="4">
        <f>YEAR(G365)</f>
        <v>2023</v>
      </c>
      <c r="E365" s="4" t="str">
        <f>TEXT(G365,"dddd")</f>
        <v>Monday</v>
      </c>
      <c r="F365" s="4" t="str">
        <f>TEXT(G365,"mmm")</f>
        <v>Aug</v>
      </c>
      <c r="G365" s="3">
        <v>45159</v>
      </c>
      <c r="H365" s="4" t="s">
        <v>398</v>
      </c>
      <c r="I365" s="4" t="s">
        <v>29</v>
      </c>
      <c r="J365" s="4" t="str" cm="1">
        <f t="array" ref="J365">_xlfn.IFS(K365&lt;30,"Young Adult",K365&lt;=50,"Adult",K365&gt;50,"Senior")</f>
        <v>Senior</v>
      </c>
      <c r="K365" s="4">
        <v>57</v>
      </c>
      <c r="L365" s="4" t="s">
        <v>9</v>
      </c>
      <c r="M365" s="4">
        <v>2</v>
      </c>
      <c r="N365" s="19">
        <v>30</v>
      </c>
      <c r="O365" s="15">
        <f>M365 * N365</f>
        <v>60</v>
      </c>
      <c r="P365" s="15">
        <f>O365*$S$3</f>
        <v>0.89999999999999991</v>
      </c>
      <c r="Q365" s="15">
        <f>O365*$S$4</f>
        <v>1.2</v>
      </c>
    </row>
    <row r="366" spans="1:17">
      <c r="A366" s="2">
        <v>306</v>
      </c>
      <c r="B366" s="4">
        <f>DAY(G366)</f>
        <v>21</v>
      </c>
      <c r="C366" s="4">
        <f>MONTH(G366)</f>
        <v>8</v>
      </c>
      <c r="D366" s="4">
        <f>YEAR(G366)</f>
        <v>2023</v>
      </c>
      <c r="E366" s="4" t="str">
        <f>TEXT(G366,"dddd")</f>
        <v>Monday</v>
      </c>
      <c r="F366" s="4" t="str">
        <f>TEXT(G366,"mmm")</f>
        <v>Aug</v>
      </c>
      <c r="G366" s="3">
        <v>45159</v>
      </c>
      <c r="H366" s="4" t="s">
        <v>399</v>
      </c>
      <c r="I366" s="4" t="s">
        <v>24</v>
      </c>
      <c r="J366" s="4" t="str" cm="1">
        <f t="array" ref="J366">_xlfn.IFS(K366&lt;30,"Young Adult",K366&lt;=50,"Adult",K366&gt;50,"Senior")</f>
        <v>Senior</v>
      </c>
      <c r="K366" s="4">
        <v>54</v>
      </c>
      <c r="L366" s="4" t="s">
        <v>9</v>
      </c>
      <c r="M366" s="4">
        <v>1</v>
      </c>
      <c r="N366" s="19">
        <v>50</v>
      </c>
      <c r="O366" s="15">
        <f>M366 * N366</f>
        <v>50</v>
      </c>
      <c r="P366" s="15">
        <f>O366*$S$3</f>
        <v>0.75</v>
      </c>
      <c r="Q366" s="15">
        <f>O366*$S$4</f>
        <v>1</v>
      </c>
    </row>
    <row r="367" spans="1:17">
      <c r="A367" s="2">
        <v>162</v>
      </c>
      <c r="B367" s="4">
        <f>DAY(G367)</f>
        <v>21</v>
      </c>
      <c r="C367" s="4">
        <f>MONTH(G367)</f>
        <v>8</v>
      </c>
      <c r="D367" s="4">
        <f>YEAR(G367)</f>
        <v>2023</v>
      </c>
      <c r="E367" s="4" t="str">
        <f>TEXT(G367,"dddd")</f>
        <v>Monday</v>
      </c>
      <c r="F367" s="4" t="str">
        <f>TEXT(G367,"mmm")</f>
        <v>Aug</v>
      </c>
      <c r="G367" s="3">
        <v>45159</v>
      </c>
      <c r="H367" s="4" t="s">
        <v>400</v>
      </c>
      <c r="I367" s="4" t="s">
        <v>24</v>
      </c>
      <c r="J367" s="4" t="str" cm="1">
        <f t="array" ref="J367">_xlfn.IFS(K367&lt;30,"Young Adult",K367&lt;=50,"Adult",K367&gt;50,"Senior")</f>
        <v>Adult</v>
      </c>
      <c r="K367" s="4">
        <v>39</v>
      </c>
      <c r="L367" s="4" t="s">
        <v>8</v>
      </c>
      <c r="M367" s="4">
        <v>2</v>
      </c>
      <c r="N367" s="19">
        <v>30</v>
      </c>
      <c r="O367" s="15">
        <f>M367 * N367</f>
        <v>60</v>
      </c>
      <c r="P367" s="15">
        <f>O367*$S$3</f>
        <v>0.89999999999999991</v>
      </c>
      <c r="Q367" s="15">
        <f>O367*$S$4</f>
        <v>1.2</v>
      </c>
    </row>
    <row r="368" spans="1:17">
      <c r="A368" s="2">
        <v>73</v>
      </c>
      <c r="B368" s="4">
        <f>DAY(G368)</f>
        <v>21</v>
      </c>
      <c r="C368" s="4">
        <f>MONTH(G368)</f>
        <v>8</v>
      </c>
      <c r="D368" s="4">
        <f>YEAR(G368)</f>
        <v>2023</v>
      </c>
      <c r="E368" s="4" t="str">
        <f>TEXT(G368,"dddd")</f>
        <v>Monday</v>
      </c>
      <c r="F368" s="4" t="str">
        <f>TEXT(G368,"mmm")</f>
        <v>Aug</v>
      </c>
      <c r="G368" s="3">
        <v>45159</v>
      </c>
      <c r="H368" s="4" t="s">
        <v>401</v>
      </c>
      <c r="I368" s="4" t="s">
        <v>24</v>
      </c>
      <c r="J368" s="4" t="str" cm="1">
        <f t="array" ref="J368">_xlfn.IFS(K368&lt;30,"Young Adult",K368&lt;=50,"Adult",K368&gt;50,"Senior")</f>
        <v>Young Adult</v>
      </c>
      <c r="K368" s="4">
        <v>29</v>
      </c>
      <c r="L368" s="4" t="s">
        <v>9</v>
      </c>
      <c r="M368" s="4">
        <v>3</v>
      </c>
      <c r="N368" s="19">
        <v>30</v>
      </c>
      <c r="O368" s="15">
        <f>M368 * N368</f>
        <v>90</v>
      </c>
      <c r="P368" s="15">
        <f>O368*$S$3</f>
        <v>1.3499999999999999</v>
      </c>
      <c r="Q368" s="15">
        <f>O368*$S$4</f>
        <v>1.8</v>
      </c>
    </row>
    <row r="369" spans="1:17">
      <c r="A369" s="2">
        <v>880</v>
      </c>
      <c r="B369" s="4">
        <f>DAY(G369)</f>
        <v>21</v>
      </c>
      <c r="C369" s="4">
        <f>MONTH(G369)</f>
        <v>8</v>
      </c>
      <c r="D369" s="4">
        <f>YEAR(G369)</f>
        <v>2023</v>
      </c>
      <c r="E369" s="4" t="str">
        <f>TEXT(G369,"dddd")</f>
        <v>Monday</v>
      </c>
      <c r="F369" s="4" t="str">
        <f>TEXT(G369,"mmm")</f>
        <v>Aug</v>
      </c>
      <c r="G369" s="3">
        <v>45159</v>
      </c>
      <c r="H369" s="4" t="s">
        <v>402</v>
      </c>
      <c r="I369" s="4" t="s">
        <v>24</v>
      </c>
      <c r="J369" s="4" t="str" cm="1">
        <f t="array" ref="J369">_xlfn.IFS(K369&lt;30,"Young Adult",K369&lt;=50,"Adult",K369&gt;50,"Senior")</f>
        <v>Young Adult</v>
      </c>
      <c r="K369" s="4">
        <v>22</v>
      </c>
      <c r="L369" s="4" t="s">
        <v>7</v>
      </c>
      <c r="M369" s="4">
        <v>2</v>
      </c>
      <c r="N369" s="19">
        <v>500</v>
      </c>
      <c r="O369" s="15">
        <f>M369 * N369</f>
        <v>1000</v>
      </c>
      <c r="P369" s="15">
        <f>O369*$S$3</f>
        <v>15</v>
      </c>
      <c r="Q369" s="15">
        <f>O369*$S$4</f>
        <v>20</v>
      </c>
    </row>
    <row r="370" spans="1:17">
      <c r="A370" s="2">
        <v>219</v>
      </c>
      <c r="B370" s="4">
        <f>DAY(G370)</f>
        <v>20</v>
      </c>
      <c r="C370" s="4">
        <f>MONTH(G370)</f>
        <v>8</v>
      </c>
      <c r="D370" s="4">
        <f>YEAR(G370)</f>
        <v>2023</v>
      </c>
      <c r="E370" s="4" t="str">
        <f>TEXT(G370,"dddd")</f>
        <v>Sunday</v>
      </c>
      <c r="F370" s="4" t="str">
        <f>TEXT(G370,"mmm")</f>
        <v>Aug</v>
      </c>
      <c r="G370" s="3">
        <v>45158</v>
      </c>
      <c r="H370" s="4" t="s">
        <v>403</v>
      </c>
      <c r="I370" s="4" t="s">
        <v>29</v>
      </c>
      <c r="J370" s="4" t="str" cm="1">
        <f t="array" ref="J370">_xlfn.IFS(K370&lt;30,"Young Adult",K370&lt;=50,"Adult",K370&gt;50,"Senior")</f>
        <v>Senior</v>
      </c>
      <c r="K370" s="4">
        <v>53</v>
      </c>
      <c r="L370" s="4" t="s">
        <v>9</v>
      </c>
      <c r="M370" s="4">
        <v>3</v>
      </c>
      <c r="N370" s="19">
        <v>30</v>
      </c>
      <c r="O370" s="15">
        <f>M370 * N370</f>
        <v>90</v>
      </c>
      <c r="P370" s="15">
        <f>O370*$S$3</f>
        <v>1.3499999999999999</v>
      </c>
      <c r="Q370" s="15">
        <f>O370*$S$4</f>
        <v>1.8</v>
      </c>
    </row>
    <row r="371" spans="1:17">
      <c r="A371" s="2">
        <v>823</v>
      </c>
      <c r="B371" s="4">
        <f>DAY(G371)</f>
        <v>19</v>
      </c>
      <c r="C371" s="4">
        <f>MONTH(G371)</f>
        <v>8</v>
      </c>
      <c r="D371" s="4">
        <f>YEAR(G371)</f>
        <v>2023</v>
      </c>
      <c r="E371" s="4" t="str">
        <f>TEXT(G371,"dddd")</f>
        <v>Saturday</v>
      </c>
      <c r="F371" s="4" t="str">
        <f>TEXT(G371,"mmm")</f>
        <v>Aug</v>
      </c>
      <c r="G371" s="3">
        <v>45157</v>
      </c>
      <c r="H371" s="4" t="s">
        <v>404</v>
      </c>
      <c r="I371" s="4" t="s">
        <v>29</v>
      </c>
      <c r="J371" s="4" t="str" cm="1">
        <f t="array" ref="J371">_xlfn.IFS(K371&lt;30,"Young Adult",K371&lt;=50,"Adult",K371&gt;50,"Senior")</f>
        <v>Senior</v>
      </c>
      <c r="K371" s="4">
        <v>56</v>
      </c>
      <c r="L371" s="4" t="s">
        <v>9</v>
      </c>
      <c r="M371" s="4">
        <v>2</v>
      </c>
      <c r="N371" s="19">
        <v>50</v>
      </c>
      <c r="O371" s="15">
        <f>M371 * N371</f>
        <v>100</v>
      </c>
      <c r="P371" s="15">
        <f>O371*$S$3</f>
        <v>1.5</v>
      </c>
      <c r="Q371" s="15">
        <f>O371*$S$4</f>
        <v>2</v>
      </c>
    </row>
    <row r="372" spans="1:17">
      <c r="A372" s="2">
        <v>638</v>
      </c>
      <c r="B372" s="4">
        <f>DAY(G372)</f>
        <v>19</v>
      </c>
      <c r="C372" s="4">
        <f>MONTH(G372)</f>
        <v>8</v>
      </c>
      <c r="D372" s="4">
        <f>YEAR(G372)</f>
        <v>2023</v>
      </c>
      <c r="E372" s="4" t="str">
        <f>TEXT(G372,"dddd")</f>
        <v>Saturday</v>
      </c>
      <c r="F372" s="4" t="str">
        <f>TEXT(G372,"mmm")</f>
        <v>Aug</v>
      </c>
      <c r="G372" s="3">
        <v>45157</v>
      </c>
      <c r="H372" s="4" t="s">
        <v>405</v>
      </c>
      <c r="I372" s="4" t="s">
        <v>24</v>
      </c>
      <c r="J372" s="4" t="str" cm="1">
        <f t="array" ref="J372">_xlfn.IFS(K372&lt;30,"Young Adult",K372&lt;=50,"Adult",K372&gt;50,"Senior")</f>
        <v>Adult</v>
      </c>
      <c r="K372" s="4">
        <v>46</v>
      </c>
      <c r="L372" s="4" t="s">
        <v>9</v>
      </c>
      <c r="M372" s="4">
        <v>1</v>
      </c>
      <c r="N372" s="19">
        <v>500</v>
      </c>
      <c r="O372" s="15">
        <f>M372 * N372</f>
        <v>500</v>
      </c>
      <c r="P372" s="15">
        <f>O372*$S$3</f>
        <v>7.5</v>
      </c>
      <c r="Q372" s="15">
        <f>O372*$S$4</f>
        <v>10</v>
      </c>
    </row>
    <row r="373" spans="1:17">
      <c r="A373" s="2">
        <v>956</v>
      </c>
      <c r="B373" s="4">
        <f>DAY(G373)</f>
        <v>19</v>
      </c>
      <c r="C373" s="4">
        <f>MONTH(G373)</f>
        <v>8</v>
      </c>
      <c r="D373" s="4">
        <f>YEAR(G373)</f>
        <v>2023</v>
      </c>
      <c r="E373" s="4" t="str">
        <f>TEXT(G373,"dddd")</f>
        <v>Saturday</v>
      </c>
      <c r="F373" s="4" t="str">
        <f>TEXT(G373,"mmm")</f>
        <v>Aug</v>
      </c>
      <c r="G373" s="3">
        <v>45157</v>
      </c>
      <c r="H373" s="4" t="s">
        <v>406</v>
      </c>
      <c r="I373" s="4" t="s">
        <v>24</v>
      </c>
      <c r="J373" s="4" t="str" cm="1">
        <f t="array" ref="J373">_xlfn.IFS(K373&lt;30,"Young Adult",K373&lt;=50,"Adult",K373&gt;50,"Senior")</f>
        <v>Adult</v>
      </c>
      <c r="K373" s="4">
        <v>30</v>
      </c>
      <c r="L373" s="4" t="s">
        <v>8</v>
      </c>
      <c r="M373" s="4">
        <v>3</v>
      </c>
      <c r="N373" s="19">
        <v>500</v>
      </c>
      <c r="O373" s="15">
        <f>M373 * N373</f>
        <v>1500</v>
      </c>
      <c r="P373" s="15">
        <f>O373*$S$3</f>
        <v>22.5</v>
      </c>
      <c r="Q373" s="15">
        <f>O373*$S$4</f>
        <v>30</v>
      </c>
    </row>
    <row r="374" spans="1:17">
      <c r="A374" s="2">
        <v>981</v>
      </c>
      <c r="B374" s="4">
        <f>DAY(G374)</f>
        <v>19</v>
      </c>
      <c r="C374" s="4">
        <f>MONTH(G374)</f>
        <v>8</v>
      </c>
      <c r="D374" s="4">
        <f>YEAR(G374)</f>
        <v>2023</v>
      </c>
      <c r="E374" s="4" t="str">
        <f>TEXT(G374,"dddd")</f>
        <v>Saturday</v>
      </c>
      <c r="F374" s="4" t="str">
        <f>TEXT(G374,"mmm")</f>
        <v>Aug</v>
      </c>
      <c r="G374" s="3">
        <v>45157</v>
      </c>
      <c r="H374" s="4" t="s">
        <v>407</v>
      </c>
      <c r="I374" s="4" t="s">
        <v>29</v>
      </c>
      <c r="J374" s="4" t="str" cm="1">
        <f t="array" ref="J374">_xlfn.IFS(K374&lt;30,"Young Adult",K374&lt;=50,"Adult",K374&gt;50,"Senior")</f>
        <v>Adult</v>
      </c>
      <c r="K374" s="4">
        <v>30</v>
      </c>
      <c r="L374" s="4" t="s">
        <v>9</v>
      </c>
      <c r="M374" s="4">
        <v>2</v>
      </c>
      <c r="N374" s="19">
        <v>30</v>
      </c>
      <c r="O374" s="15">
        <f>M374 * N374</f>
        <v>60</v>
      </c>
      <c r="P374" s="15">
        <f>O374*$S$3</f>
        <v>0.89999999999999991</v>
      </c>
      <c r="Q374" s="15">
        <f>O374*$S$4</f>
        <v>1.2</v>
      </c>
    </row>
    <row r="375" spans="1:17">
      <c r="A375" s="2">
        <v>859</v>
      </c>
      <c r="B375" s="4">
        <f>DAY(G375)</f>
        <v>18</v>
      </c>
      <c r="C375" s="4">
        <f>MONTH(G375)</f>
        <v>8</v>
      </c>
      <c r="D375" s="4">
        <f>YEAR(G375)</f>
        <v>2023</v>
      </c>
      <c r="E375" s="4" t="str">
        <f>TEXT(G375,"dddd")</f>
        <v>Friday</v>
      </c>
      <c r="F375" s="4" t="str">
        <f>TEXT(G375,"mmm")</f>
        <v>Aug</v>
      </c>
      <c r="G375" s="3">
        <v>45156</v>
      </c>
      <c r="H375" s="4" t="s">
        <v>408</v>
      </c>
      <c r="I375" s="4" t="s">
        <v>29</v>
      </c>
      <c r="J375" s="4" t="str" cm="1">
        <f t="array" ref="J375">_xlfn.IFS(K375&lt;30,"Young Adult",K375&lt;=50,"Adult",K375&gt;50,"Senior")</f>
        <v>Senior</v>
      </c>
      <c r="K375" s="4">
        <v>56</v>
      </c>
      <c r="L375" s="4" t="s">
        <v>9</v>
      </c>
      <c r="M375" s="4">
        <v>3</v>
      </c>
      <c r="N375" s="19">
        <v>500</v>
      </c>
      <c r="O375" s="15">
        <f>M375 * N375</f>
        <v>1500</v>
      </c>
      <c r="P375" s="15">
        <f>O375*$S$3</f>
        <v>22.5</v>
      </c>
      <c r="Q375" s="15">
        <f>O375*$S$4</f>
        <v>30</v>
      </c>
    </row>
    <row r="376" spans="1:17">
      <c r="A376" s="2">
        <v>29</v>
      </c>
      <c r="B376" s="4">
        <f>DAY(G376)</f>
        <v>18</v>
      </c>
      <c r="C376" s="4">
        <f>MONTH(G376)</f>
        <v>8</v>
      </c>
      <c r="D376" s="4">
        <f>YEAR(G376)</f>
        <v>2023</v>
      </c>
      <c r="E376" s="4" t="str">
        <f>TEXT(G376,"dddd")</f>
        <v>Friday</v>
      </c>
      <c r="F376" s="4" t="str">
        <f>TEXT(G376,"mmm")</f>
        <v>Aug</v>
      </c>
      <c r="G376" s="3">
        <v>45156</v>
      </c>
      <c r="H376" s="4" t="s">
        <v>409</v>
      </c>
      <c r="I376" s="4" t="s">
        <v>29</v>
      </c>
      <c r="J376" s="4" t="str" cm="1">
        <f t="array" ref="J376">_xlfn.IFS(K376&lt;30,"Young Adult",K376&lt;=50,"Adult",K376&gt;50,"Senior")</f>
        <v>Adult</v>
      </c>
      <c r="K376" s="4">
        <v>42</v>
      </c>
      <c r="L376" s="4" t="s">
        <v>9</v>
      </c>
      <c r="M376" s="4">
        <v>1</v>
      </c>
      <c r="N376" s="19">
        <v>30</v>
      </c>
      <c r="O376" s="15">
        <f>M376 * N376</f>
        <v>30</v>
      </c>
      <c r="P376" s="15">
        <f>O376*$S$3</f>
        <v>0.44999999999999996</v>
      </c>
      <c r="Q376" s="15">
        <f>O376*$S$4</f>
        <v>0.6</v>
      </c>
    </row>
    <row r="377" spans="1:17">
      <c r="A377" s="2">
        <v>277</v>
      </c>
      <c r="B377" s="4">
        <f>DAY(G377)</f>
        <v>18</v>
      </c>
      <c r="C377" s="4">
        <f>MONTH(G377)</f>
        <v>8</v>
      </c>
      <c r="D377" s="4">
        <f>YEAR(G377)</f>
        <v>2023</v>
      </c>
      <c r="E377" s="4" t="str">
        <f>TEXT(G377,"dddd")</f>
        <v>Friday</v>
      </c>
      <c r="F377" s="4" t="str">
        <f>TEXT(G377,"mmm")</f>
        <v>Aug</v>
      </c>
      <c r="G377" s="3">
        <v>45156</v>
      </c>
      <c r="H377" s="4" t="s">
        <v>410</v>
      </c>
      <c r="I377" s="4" t="s">
        <v>24</v>
      </c>
      <c r="J377" s="4" t="str" cm="1">
        <f t="array" ref="J377">_xlfn.IFS(K377&lt;30,"Young Adult",K377&lt;=50,"Adult",K377&gt;50,"Senior")</f>
        <v>Adult</v>
      </c>
      <c r="K377" s="4">
        <v>36</v>
      </c>
      <c r="L377" s="4" t="s">
        <v>8</v>
      </c>
      <c r="M377" s="4">
        <v>4</v>
      </c>
      <c r="N377" s="19">
        <v>25</v>
      </c>
      <c r="O377" s="15">
        <f>M377 * N377</f>
        <v>100</v>
      </c>
      <c r="P377" s="15">
        <f>O377*$S$3</f>
        <v>1.5</v>
      </c>
      <c r="Q377" s="15">
        <f>O377*$S$4</f>
        <v>2</v>
      </c>
    </row>
    <row r="378" spans="1:17">
      <c r="A378" s="2">
        <v>635</v>
      </c>
      <c r="B378" s="4">
        <f>DAY(G378)</f>
        <v>17</v>
      </c>
      <c r="C378" s="4">
        <f>MONTH(G378)</f>
        <v>8</v>
      </c>
      <c r="D378" s="4">
        <f>YEAR(G378)</f>
        <v>2023</v>
      </c>
      <c r="E378" s="4" t="str">
        <f>TEXT(G378,"dddd")</f>
        <v>Thursday</v>
      </c>
      <c r="F378" s="4" t="str">
        <f>TEXT(G378,"mmm")</f>
        <v>Aug</v>
      </c>
      <c r="G378" s="3">
        <v>45155</v>
      </c>
      <c r="H378" s="4" t="s">
        <v>411</v>
      </c>
      <c r="I378" s="4" t="s">
        <v>29</v>
      </c>
      <c r="J378" s="4" t="str" cm="1">
        <f t="array" ref="J378">_xlfn.IFS(K378&lt;30,"Young Adult",K378&lt;=50,"Adult",K378&gt;50,"Senior")</f>
        <v>Senior</v>
      </c>
      <c r="K378" s="4">
        <v>63</v>
      </c>
      <c r="L378" s="4" t="s">
        <v>9</v>
      </c>
      <c r="M378" s="4">
        <v>3</v>
      </c>
      <c r="N378" s="19">
        <v>300</v>
      </c>
      <c r="O378" s="15">
        <f>M378 * N378</f>
        <v>900</v>
      </c>
      <c r="P378" s="15">
        <f>O378*$S$3</f>
        <v>13.5</v>
      </c>
      <c r="Q378" s="15">
        <f>O378*$S$4</f>
        <v>18</v>
      </c>
    </row>
    <row r="379" spans="1:17">
      <c r="A379" s="2">
        <v>957</v>
      </c>
      <c r="B379" s="4">
        <f>DAY(G379)</f>
        <v>15</v>
      </c>
      <c r="C379" s="4">
        <f>MONTH(G379)</f>
        <v>8</v>
      </c>
      <c r="D379" s="4">
        <f>YEAR(G379)</f>
        <v>2023</v>
      </c>
      <c r="E379" s="4" t="str">
        <f>TEXT(G379,"dddd")</f>
        <v>Tuesday</v>
      </c>
      <c r="F379" s="4" t="str">
        <f>TEXT(G379,"mmm")</f>
        <v>Aug</v>
      </c>
      <c r="G379" s="3">
        <v>45153</v>
      </c>
      <c r="H379" s="4" t="s">
        <v>412</v>
      </c>
      <c r="I379" s="4" t="s">
        <v>29</v>
      </c>
      <c r="J379" s="4" t="str" cm="1">
        <f t="array" ref="J379">_xlfn.IFS(K379&lt;30,"Young Adult",K379&lt;=50,"Adult",K379&gt;50,"Senior")</f>
        <v>Senior</v>
      </c>
      <c r="K379" s="4">
        <v>60</v>
      </c>
      <c r="L379" s="4" t="s">
        <v>9</v>
      </c>
      <c r="M379" s="4">
        <v>4</v>
      </c>
      <c r="N379" s="19">
        <v>30</v>
      </c>
      <c r="O379" s="15">
        <f>M379 * N379</f>
        <v>120</v>
      </c>
      <c r="P379" s="15">
        <f>O379*$S$3</f>
        <v>1.7999999999999998</v>
      </c>
      <c r="Q379" s="15">
        <f>O379*$S$4</f>
        <v>2.4</v>
      </c>
    </row>
    <row r="380" spans="1:17">
      <c r="A380" s="2">
        <v>569</v>
      </c>
      <c r="B380" s="4">
        <f>DAY(G380)</f>
        <v>15</v>
      </c>
      <c r="C380" s="4">
        <f>MONTH(G380)</f>
        <v>8</v>
      </c>
      <c r="D380" s="4">
        <f>YEAR(G380)</f>
        <v>2023</v>
      </c>
      <c r="E380" s="4" t="str">
        <f>TEXT(G380,"dddd")</f>
        <v>Tuesday</v>
      </c>
      <c r="F380" s="4" t="str">
        <f>TEXT(G380,"mmm")</f>
        <v>Aug</v>
      </c>
      <c r="G380" s="3">
        <v>45153</v>
      </c>
      <c r="H380" s="4" t="s">
        <v>413</v>
      </c>
      <c r="I380" s="4" t="s">
        <v>24</v>
      </c>
      <c r="J380" s="4" t="str" cm="1">
        <f t="array" ref="J380">_xlfn.IFS(K380&lt;30,"Young Adult",K380&lt;=50,"Adult",K380&gt;50,"Senior")</f>
        <v>Senior</v>
      </c>
      <c r="K380" s="4">
        <v>52</v>
      </c>
      <c r="L380" s="4" t="s">
        <v>9</v>
      </c>
      <c r="M380" s="4">
        <v>4</v>
      </c>
      <c r="N380" s="19">
        <v>50</v>
      </c>
      <c r="O380" s="15">
        <f>M380 * N380</f>
        <v>200</v>
      </c>
      <c r="P380" s="15">
        <f>O380*$S$3</f>
        <v>3</v>
      </c>
      <c r="Q380" s="15">
        <f>O380*$S$4</f>
        <v>4</v>
      </c>
    </row>
    <row r="381" spans="1:17">
      <c r="A381" s="2">
        <v>570</v>
      </c>
      <c r="B381" s="4">
        <f>DAY(G381)</f>
        <v>15</v>
      </c>
      <c r="C381" s="4">
        <f>MONTH(G381)</f>
        <v>8</v>
      </c>
      <c r="D381" s="4">
        <f>YEAR(G381)</f>
        <v>2023</v>
      </c>
      <c r="E381" s="4" t="str">
        <f>TEXT(G381,"dddd")</f>
        <v>Tuesday</v>
      </c>
      <c r="F381" s="4" t="str">
        <f>TEXT(G381,"mmm")</f>
        <v>Aug</v>
      </c>
      <c r="G381" s="3">
        <v>45153</v>
      </c>
      <c r="H381" s="4" t="s">
        <v>414</v>
      </c>
      <c r="I381" s="4" t="s">
        <v>24</v>
      </c>
      <c r="J381" s="4" t="str" cm="1">
        <f t="array" ref="J381">_xlfn.IFS(K381&lt;30,"Young Adult",K381&lt;=50,"Adult",K381&gt;50,"Senior")</f>
        <v>Adult</v>
      </c>
      <c r="K381" s="4">
        <v>49</v>
      </c>
      <c r="L381" s="4" t="s">
        <v>8</v>
      </c>
      <c r="M381" s="4">
        <v>1</v>
      </c>
      <c r="N381" s="19">
        <v>500</v>
      </c>
      <c r="O381" s="15">
        <f>M381 * N381</f>
        <v>500</v>
      </c>
      <c r="P381" s="15">
        <f>O381*$S$3</f>
        <v>7.5</v>
      </c>
      <c r="Q381" s="15">
        <f>O381*$S$4</f>
        <v>10</v>
      </c>
    </row>
    <row r="382" spans="1:17">
      <c r="A382" s="2">
        <v>630</v>
      </c>
      <c r="B382" s="4">
        <f>DAY(G382)</f>
        <v>15</v>
      </c>
      <c r="C382" s="4">
        <f>MONTH(G382)</f>
        <v>8</v>
      </c>
      <c r="D382" s="4">
        <f>YEAR(G382)</f>
        <v>2023</v>
      </c>
      <c r="E382" s="4" t="str">
        <f>TEXT(G382,"dddd")</f>
        <v>Tuesday</v>
      </c>
      <c r="F382" s="4" t="str">
        <f>TEXT(G382,"mmm")</f>
        <v>Aug</v>
      </c>
      <c r="G382" s="3">
        <v>45153</v>
      </c>
      <c r="H382" s="4" t="s">
        <v>415</v>
      </c>
      <c r="I382" s="4" t="s">
        <v>24</v>
      </c>
      <c r="J382" s="4" t="str" cm="1">
        <f t="array" ref="J382">_xlfn.IFS(K382&lt;30,"Young Adult",K382&lt;=50,"Adult",K382&gt;50,"Senior")</f>
        <v>Adult</v>
      </c>
      <c r="K382" s="4">
        <v>42</v>
      </c>
      <c r="L382" s="4" t="s">
        <v>8</v>
      </c>
      <c r="M382" s="4">
        <v>2</v>
      </c>
      <c r="N382" s="19">
        <v>50</v>
      </c>
      <c r="O382" s="15">
        <f>M382 * N382</f>
        <v>100</v>
      </c>
      <c r="P382" s="15">
        <f>O382*$S$3</f>
        <v>1.5</v>
      </c>
      <c r="Q382" s="15">
        <f>O382*$S$4</f>
        <v>2</v>
      </c>
    </row>
    <row r="383" spans="1:17">
      <c r="A383" s="2">
        <v>285</v>
      </c>
      <c r="B383" s="4">
        <f>DAY(G383)</f>
        <v>15</v>
      </c>
      <c r="C383" s="4">
        <f>MONTH(G383)</f>
        <v>8</v>
      </c>
      <c r="D383" s="4">
        <f>YEAR(G383)</f>
        <v>2023</v>
      </c>
      <c r="E383" s="4" t="str">
        <f>TEXT(G383,"dddd")</f>
        <v>Tuesday</v>
      </c>
      <c r="F383" s="4" t="str">
        <f>TEXT(G383,"mmm")</f>
        <v>Aug</v>
      </c>
      <c r="G383" s="3">
        <v>45153</v>
      </c>
      <c r="H383" s="4" t="s">
        <v>416</v>
      </c>
      <c r="I383" s="4" t="s">
        <v>29</v>
      </c>
      <c r="J383" s="4" t="str" cm="1">
        <f t="array" ref="J383">_xlfn.IFS(K383&lt;30,"Young Adult",K383&lt;=50,"Adult",K383&gt;50,"Senior")</f>
        <v>Adult</v>
      </c>
      <c r="K383" s="4">
        <v>31</v>
      </c>
      <c r="L383" s="4" t="s">
        <v>9</v>
      </c>
      <c r="M383" s="4">
        <v>1</v>
      </c>
      <c r="N383" s="19">
        <v>25</v>
      </c>
      <c r="O383" s="15">
        <f>M383 * N383</f>
        <v>25</v>
      </c>
      <c r="P383" s="15">
        <f>O383*$S$3</f>
        <v>0.375</v>
      </c>
      <c r="Q383" s="15">
        <f>O383*$S$4</f>
        <v>0.5</v>
      </c>
    </row>
    <row r="384" spans="1:17">
      <c r="A384" s="2">
        <v>427</v>
      </c>
      <c r="B384" s="4">
        <f>DAY(G384)</f>
        <v>15</v>
      </c>
      <c r="C384" s="4">
        <f>MONTH(G384)</f>
        <v>8</v>
      </c>
      <c r="D384" s="4">
        <f>YEAR(G384)</f>
        <v>2023</v>
      </c>
      <c r="E384" s="4" t="str">
        <f>TEXT(G384,"dddd")</f>
        <v>Tuesday</v>
      </c>
      <c r="F384" s="4" t="str">
        <f>TEXT(G384,"mmm")</f>
        <v>Aug</v>
      </c>
      <c r="G384" s="3">
        <v>45153</v>
      </c>
      <c r="H384" s="4" t="s">
        <v>417</v>
      </c>
      <c r="I384" s="4" t="s">
        <v>24</v>
      </c>
      <c r="J384" s="4" t="str" cm="1">
        <f t="array" ref="J384">_xlfn.IFS(K384&lt;30,"Young Adult",K384&lt;=50,"Adult",K384&gt;50,"Senior")</f>
        <v>Young Adult</v>
      </c>
      <c r="K384" s="4">
        <v>25</v>
      </c>
      <c r="L384" s="4" t="s">
        <v>9</v>
      </c>
      <c r="M384" s="4">
        <v>1</v>
      </c>
      <c r="N384" s="19">
        <v>25</v>
      </c>
      <c r="O384" s="15">
        <f>M384 * N384</f>
        <v>25</v>
      </c>
      <c r="P384" s="15">
        <f>O384*$S$3</f>
        <v>0.375</v>
      </c>
      <c r="Q384" s="15">
        <f>O384*$S$4</f>
        <v>0.5</v>
      </c>
    </row>
    <row r="385" spans="1:17">
      <c r="A385" s="2">
        <v>648</v>
      </c>
      <c r="B385" s="4">
        <f>DAY(G385)</f>
        <v>14</v>
      </c>
      <c r="C385" s="4">
        <f>MONTH(G385)</f>
        <v>8</v>
      </c>
      <c r="D385" s="4">
        <f>YEAR(G385)</f>
        <v>2023</v>
      </c>
      <c r="E385" s="4" t="str">
        <f>TEXT(G385,"dddd")</f>
        <v>Monday</v>
      </c>
      <c r="F385" s="4" t="str">
        <f>TEXT(G385,"mmm")</f>
        <v>Aug</v>
      </c>
      <c r="G385" s="3">
        <v>45152</v>
      </c>
      <c r="H385" s="4" t="s">
        <v>418</v>
      </c>
      <c r="I385" s="4" t="s">
        <v>24</v>
      </c>
      <c r="J385" s="4" t="str" cm="1">
        <f t="array" ref="J385">_xlfn.IFS(K385&lt;30,"Young Adult",K385&lt;=50,"Adult",K385&gt;50,"Senior")</f>
        <v>Senior</v>
      </c>
      <c r="K385" s="4">
        <v>53</v>
      </c>
      <c r="L385" s="4" t="s">
        <v>7</v>
      </c>
      <c r="M385" s="4">
        <v>4</v>
      </c>
      <c r="N385" s="19">
        <v>300</v>
      </c>
      <c r="O385" s="15">
        <f>M385 * N385</f>
        <v>1200</v>
      </c>
      <c r="P385" s="15">
        <f>O385*$S$3</f>
        <v>18</v>
      </c>
      <c r="Q385" s="15">
        <f>O385*$S$4</f>
        <v>24</v>
      </c>
    </row>
    <row r="386" spans="1:17">
      <c r="A386" s="2">
        <v>926</v>
      </c>
      <c r="B386" s="4">
        <f>DAY(G386)</f>
        <v>14</v>
      </c>
      <c r="C386" s="4">
        <f>MONTH(G386)</f>
        <v>8</v>
      </c>
      <c r="D386" s="4">
        <f>YEAR(G386)</f>
        <v>2023</v>
      </c>
      <c r="E386" s="4" t="str">
        <f>TEXT(G386,"dddd")</f>
        <v>Monday</v>
      </c>
      <c r="F386" s="4" t="str">
        <f>TEXT(G386,"mmm")</f>
        <v>Aug</v>
      </c>
      <c r="G386" s="3">
        <v>45152</v>
      </c>
      <c r="H386" s="4" t="s">
        <v>419</v>
      </c>
      <c r="I386" s="4" t="s">
        <v>24</v>
      </c>
      <c r="J386" s="4" t="str" cm="1">
        <f t="array" ref="J386">_xlfn.IFS(K386&lt;30,"Young Adult",K386&lt;=50,"Adult",K386&gt;50,"Senior")</f>
        <v>Young Adult</v>
      </c>
      <c r="K386" s="4">
        <v>22</v>
      </c>
      <c r="L386" s="4" t="s">
        <v>9</v>
      </c>
      <c r="M386" s="4">
        <v>1</v>
      </c>
      <c r="N386" s="19">
        <v>30</v>
      </c>
      <c r="O386" s="15">
        <f>M386 * N386</f>
        <v>30</v>
      </c>
      <c r="P386" s="15">
        <f>O386*$S$3</f>
        <v>0.44999999999999996</v>
      </c>
      <c r="Q386" s="15">
        <f>O386*$S$4</f>
        <v>0.6</v>
      </c>
    </row>
    <row r="387" spans="1:17">
      <c r="A387" s="2">
        <v>384</v>
      </c>
      <c r="B387" s="4">
        <f>DAY(G387)</f>
        <v>13</v>
      </c>
      <c r="C387" s="4">
        <f>MONTH(G387)</f>
        <v>8</v>
      </c>
      <c r="D387" s="4">
        <f>YEAR(G387)</f>
        <v>2023</v>
      </c>
      <c r="E387" s="4" t="str">
        <f>TEXT(G387,"dddd")</f>
        <v>Sunday</v>
      </c>
      <c r="F387" s="4" t="str">
        <f>TEXT(G387,"mmm")</f>
        <v>Aug</v>
      </c>
      <c r="G387" s="3">
        <v>45151</v>
      </c>
      <c r="H387" s="4" t="s">
        <v>420</v>
      </c>
      <c r="I387" s="4" t="s">
        <v>24</v>
      </c>
      <c r="J387" s="4" t="str" cm="1">
        <f t="array" ref="J387">_xlfn.IFS(K387&lt;30,"Young Adult",K387&lt;=50,"Adult",K387&gt;50,"Senior")</f>
        <v>Senior</v>
      </c>
      <c r="K387" s="4">
        <v>55</v>
      </c>
      <c r="L387" s="4" t="s">
        <v>8</v>
      </c>
      <c r="M387" s="4">
        <v>1</v>
      </c>
      <c r="N387" s="19">
        <v>500</v>
      </c>
      <c r="O387" s="15">
        <f>M387 * N387</f>
        <v>500</v>
      </c>
      <c r="P387" s="15">
        <f>O387*$S$3</f>
        <v>7.5</v>
      </c>
      <c r="Q387" s="15">
        <f>O387*$S$4</f>
        <v>10</v>
      </c>
    </row>
    <row r="388" spans="1:17">
      <c r="A388" s="2">
        <v>217</v>
      </c>
      <c r="B388" s="4">
        <f>DAY(G388)</f>
        <v>13</v>
      </c>
      <c r="C388" s="4">
        <f>MONTH(G388)</f>
        <v>8</v>
      </c>
      <c r="D388" s="4">
        <f>YEAR(G388)</f>
        <v>2023</v>
      </c>
      <c r="E388" s="4" t="str">
        <f>TEXT(G388,"dddd")</f>
        <v>Sunday</v>
      </c>
      <c r="F388" s="4" t="str">
        <f>TEXT(G388,"mmm")</f>
        <v>Aug</v>
      </c>
      <c r="G388" s="3">
        <v>45151</v>
      </c>
      <c r="H388" s="4" t="s">
        <v>421</v>
      </c>
      <c r="I388" s="4" t="s">
        <v>29</v>
      </c>
      <c r="J388" s="4" t="str" cm="1">
        <f t="array" ref="J388">_xlfn.IFS(K388&lt;30,"Young Adult",K388&lt;=50,"Adult",K388&gt;50,"Senior")</f>
        <v>Adult</v>
      </c>
      <c r="K388" s="4">
        <v>35</v>
      </c>
      <c r="L388" s="4" t="s">
        <v>9</v>
      </c>
      <c r="M388" s="4">
        <v>4</v>
      </c>
      <c r="N388" s="19">
        <v>50</v>
      </c>
      <c r="O388" s="15">
        <f>M388 * N388</f>
        <v>200</v>
      </c>
      <c r="P388" s="15">
        <f>O388*$S$3</f>
        <v>3</v>
      </c>
      <c r="Q388" s="15">
        <f>O388*$S$4</f>
        <v>4</v>
      </c>
    </row>
    <row r="389" spans="1:17">
      <c r="A389" s="2">
        <v>521</v>
      </c>
      <c r="B389" s="4">
        <f>DAY(G389)</f>
        <v>12</v>
      </c>
      <c r="C389" s="4">
        <f>MONTH(G389)</f>
        <v>8</v>
      </c>
      <c r="D389" s="4">
        <f>YEAR(G389)</f>
        <v>2023</v>
      </c>
      <c r="E389" s="4" t="str">
        <f>TEXT(G389,"dddd")</f>
        <v>Saturday</v>
      </c>
      <c r="F389" s="4" t="str">
        <f>TEXT(G389,"mmm")</f>
        <v>Aug</v>
      </c>
      <c r="G389" s="3">
        <v>45150</v>
      </c>
      <c r="H389" s="4" t="s">
        <v>422</v>
      </c>
      <c r="I389" s="4" t="s">
        <v>29</v>
      </c>
      <c r="J389" s="4" t="str" cm="1">
        <f t="array" ref="J389">_xlfn.IFS(K389&lt;30,"Young Adult",K389&lt;=50,"Adult",K389&gt;50,"Senior")</f>
        <v>Adult</v>
      </c>
      <c r="K389" s="4">
        <v>47</v>
      </c>
      <c r="L389" s="4" t="s">
        <v>8</v>
      </c>
      <c r="M389" s="4">
        <v>4</v>
      </c>
      <c r="N389" s="19">
        <v>30</v>
      </c>
      <c r="O389" s="15">
        <f>M389 * N389</f>
        <v>120</v>
      </c>
      <c r="P389" s="15">
        <f>O389*$S$3</f>
        <v>1.7999999999999998</v>
      </c>
      <c r="Q389" s="15">
        <f>O389*$S$4</f>
        <v>2.4</v>
      </c>
    </row>
    <row r="390" spans="1:17">
      <c r="A390" s="2">
        <v>816</v>
      </c>
      <c r="B390" s="4">
        <f>DAY(G390)</f>
        <v>12</v>
      </c>
      <c r="C390" s="4">
        <f>MONTH(G390)</f>
        <v>8</v>
      </c>
      <c r="D390" s="4">
        <f>YEAR(G390)</f>
        <v>2023</v>
      </c>
      <c r="E390" s="4" t="str">
        <f>TEXT(G390,"dddd")</f>
        <v>Saturday</v>
      </c>
      <c r="F390" s="4" t="str">
        <f>TEXT(G390,"mmm")</f>
        <v>Aug</v>
      </c>
      <c r="G390" s="3">
        <v>45150</v>
      </c>
      <c r="H390" s="4" t="s">
        <v>423</v>
      </c>
      <c r="I390" s="4" t="s">
        <v>24</v>
      </c>
      <c r="J390" s="4" t="str" cm="1">
        <f t="array" ref="J390">_xlfn.IFS(K390&lt;30,"Young Adult",K390&lt;=50,"Adult",K390&gt;50,"Senior")</f>
        <v>Adult</v>
      </c>
      <c r="K390" s="4">
        <v>47</v>
      </c>
      <c r="L390" s="4" t="s">
        <v>7</v>
      </c>
      <c r="M390" s="4">
        <v>2</v>
      </c>
      <c r="N390" s="19">
        <v>500</v>
      </c>
      <c r="O390" s="15">
        <f>M390 * N390</f>
        <v>1000</v>
      </c>
      <c r="P390" s="15">
        <f>O390*$S$3</f>
        <v>15</v>
      </c>
      <c r="Q390" s="15">
        <f>O390*$S$4</f>
        <v>20</v>
      </c>
    </row>
    <row r="391" spans="1:17">
      <c r="A391" s="2">
        <v>511</v>
      </c>
      <c r="B391" s="4">
        <f>DAY(G391)</f>
        <v>12</v>
      </c>
      <c r="C391" s="4">
        <f>MONTH(G391)</f>
        <v>8</v>
      </c>
      <c r="D391" s="4">
        <f>YEAR(G391)</f>
        <v>2023</v>
      </c>
      <c r="E391" s="4" t="str">
        <f>TEXT(G391,"dddd")</f>
        <v>Saturday</v>
      </c>
      <c r="F391" s="4" t="str">
        <f>TEXT(G391,"mmm")</f>
        <v>Aug</v>
      </c>
      <c r="G391" s="3">
        <v>45150</v>
      </c>
      <c r="H391" s="4" t="s">
        <v>424</v>
      </c>
      <c r="I391" s="4" t="s">
        <v>24</v>
      </c>
      <c r="J391" s="4" t="str" cm="1">
        <f t="array" ref="J391">_xlfn.IFS(K391&lt;30,"Young Adult",K391&lt;=50,"Adult",K391&gt;50,"Senior")</f>
        <v>Adult</v>
      </c>
      <c r="K391" s="4">
        <v>45</v>
      </c>
      <c r="L391" s="4" t="s">
        <v>7</v>
      </c>
      <c r="M391" s="4">
        <v>2</v>
      </c>
      <c r="N391" s="19">
        <v>50</v>
      </c>
      <c r="O391" s="15">
        <f>M391 * N391</f>
        <v>100</v>
      </c>
      <c r="P391" s="15">
        <f>O391*$S$3</f>
        <v>1.5</v>
      </c>
      <c r="Q391" s="15">
        <f>O391*$S$4</f>
        <v>2</v>
      </c>
    </row>
    <row r="392" spans="1:17">
      <c r="A392" s="2">
        <v>695</v>
      </c>
      <c r="B392" s="4">
        <f>DAY(G392)</f>
        <v>12</v>
      </c>
      <c r="C392" s="4">
        <f>MONTH(G392)</f>
        <v>8</v>
      </c>
      <c r="D392" s="4">
        <f>YEAR(G392)</f>
        <v>2023</v>
      </c>
      <c r="E392" s="4" t="str">
        <f>TEXT(G392,"dddd")</f>
        <v>Saturday</v>
      </c>
      <c r="F392" s="4" t="str">
        <f>TEXT(G392,"mmm")</f>
        <v>Aug</v>
      </c>
      <c r="G392" s="3">
        <v>45150</v>
      </c>
      <c r="H392" s="4" t="s">
        <v>425</v>
      </c>
      <c r="I392" s="4" t="s">
        <v>29</v>
      </c>
      <c r="J392" s="4" t="str" cm="1">
        <f t="array" ref="J392">_xlfn.IFS(K392&lt;30,"Young Adult",K392&lt;=50,"Adult",K392&gt;50,"Senior")</f>
        <v>Young Adult</v>
      </c>
      <c r="K392" s="4">
        <v>22</v>
      </c>
      <c r="L392" s="4" t="s">
        <v>9</v>
      </c>
      <c r="M392" s="4">
        <v>3</v>
      </c>
      <c r="N392" s="19">
        <v>50</v>
      </c>
      <c r="O392" s="15">
        <f>M392 * N392</f>
        <v>150</v>
      </c>
      <c r="P392" s="15">
        <f>O392*$S$3</f>
        <v>2.25</v>
      </c>
      <c r="Q392" s="15">
        <f>O392*$S$4</f>
        <v>3</v>
      </c>
    </row>
    <row r="393" spans="1:17">
      <c r="A393" s="2">
        <v>508</v>
      </c>
      <c r="B393" s="4">
        <f>DAY(G393)</f>
        <v>11</v>
      </c>
      <c r="C393" s="4">
        <f>MONTH(G393)</f>
        <v>8</v>
      </c>
      <c r="D393" s="4">
        <f>YEAR(G393)</f>
        <v>2023</v>
      </c>
      <c r="E393" s="4" t="str">
        <f>TEXT(G393,"dddd")</f>
        <v>Friday</v>
      </c>
      <c r="F393" s="4" t="str">
        <f>TEXT(G393,"mmm")</f>
        <v>Aug</v>
      </c>
      <c r="G393" s="3">
        <v>45149</v>
      </c>
      <c r="H393" s="4" t="s">
        <v>426</v>
      </c>
      <c r="I393" s="4" t="s">
        <v>24</v>
      </c>
      <c r="J393" s="4" t="str" cm="1">
        <f t="array" ref="J393">_xlfn.IFS(K393&lt;30,"Young Adult",K393&lt;=50,"Adult",K393&gt;50,"Senior")</f>
        <v>Senior</v>
      </c>
      <c r="K393" s="4">
        <v>58</v>
      </c>
      <c r="L393" s="4" t="s">
        <v>7</v>
      </c>
      <c r="M393" s="4">
        <v>2</v>
      </c>
      <c r="N393" s="19">
        <v>300</v>
      </c>
      <c r="O393" s="15">
        <f>M393 * N393</f>
        <v>600</v>
      </c>
      <c r="P393" s="15">
        <f>O393*$S$3</f>
        <v>9</v>
      </c>
      <c r="Q393" s="15">
        <f>O393*$S$4</f>
        <v>12</v>
      </c>
    </row>
    <row r="394" spans="1:17">
      <c r="A394" s="2">
        <v>807</v>
      </c>
      <c r="B394" s="4">
        <f>DAY(G394)</f>
        <v>11</v>
      </c>
      <c r="C394" s="4">
        <f>MONTH(G394)</f>
        <v>8</v>
      </c>
      <c r="D394" s="4">
        <f>YEAR(G394)</f>
        <v>2023</v>
      </c>
      <c r="E394" s="4" t="str">
        <f>TEXT(G394,"dddd")</f>
        <v>Friday</v>
      </c>
      <c r="F394" s="4" t="str">
        <f>TEXT(G394,"mmm")</f>
        <v>Aug</v>
      </c>
      <c r="G394" s="3">
        <v>45149</v>
      </c>
      <c r="H394" s="4" t="s">
        <v>427</v>
      </c>
      <c r="I394" s="4" t="s">
        <v>29</v>
      </c>
      <c r="J394" s="4" t="str" cm="1">
        <f t="array" ref="J394">_xlfn.IFS(K394&lt;30,"Young Adult",K394&lt;=50,"Adult",K394&gt;50,"Senior")</f>
        <v>Adult</v>
      </c>
      <c r="K394" s="4">
        <v>50</v>
      </c>
      <c r="L394" s="4" t="s">
        <v>9</v>
      </c>
      <c r="M394" s="4">
        <v>4</v>
      </c>
      <c r="N394" s="19">
        <v>50</v>
      </c>
      <c r="O394" s="15">
        <f>M394 * N394</f>
        <v>200</v>
      </c>
      <c r="P394" s="15">
        <f>O394*$S$3</f>
        <v>3</v>
      </c>
      <c r="Q394" s="15">
        <f>O394*$S$4</f>
        <v>4</v>
      </c>
    </row>
    <row r="395" spans="1:17">
      <c r="A395" s="2">
        <v>160</v>
      </c>
      <c r="B395" s="4">
        <f>DAY(G395)</f>
        <v>11</v>
      </c>
      <c r="C395" s="4">
        <f>MONTH(G395)</f>
        <v>8</v>
      </c>
      <c r="D395" s="4">
        <f>YEAR(G395)</f>
        <v>2023</v>
      </c>
      <c r="E395" s="4" t="str">
        <f>TEXT(G395,"dddd")</f>
        <v>Friday</v>
      </c>
      <c r="F395" s="4" t="str">
        <f>TEXT(G395,"mmm")</f>
        <v>Aug</v>
      </c>
      <c r="G395" s="3">
        <v>45149</v>
      </c>
      <c r="H395" s="4" t="s">
        <v>428</v>
      </c>
      <c r="I395" s="4" t="s">
        <v>29</v>
      </c>
      <c r="J395" s="4" t="str" cm="1">
        <f t="array" ref="J395">_xlfn.IFS(K395&lt;30,"Young Adult",K395&lt;=50,"Adult",K395&gt;50,"Senior")</f>
        <v>Adult</v>
      </c>
      <c r="K395" s="4">
        <v>43</v>
      </c>
      <c r="L395" s="4" t="s">
        <v>8</v>
      </c>
      <c r="M395" s="4">
        <v>2</v>
      </c>
      <c r="N395" s="19">
        <v>50</v>
      </c>
      <c r="O395" s="15">
        <f>M395 * N395</f>
        <v>100</v>
      </c>
      <c r="P395" s="15">
        <f>O395*$S$3</f>
        <v>1.5</v>
      </c>
      <c r="Q395" s="15">
        <f>O395*$S$4</f>
        <v>2</v>
      </c>
    </row>
    <row r="396" spans="1:17">
      <c r="A396" s="2">
        <v>801</v>
      </c>
      <c r="B396" s="4">
        <f>DAY(G396)</f>
        <v>10</v>
      </c>
      <c r="C396" s="4">
        <f>MONTH(G396)</f>
        <v>8</v>
      </c>
      <c r="D396" s="4">
        <f>YEAR(G396)</f>
        <v>2023</v>
      </c>
      <c r="E396" s="4" t="str">
        <f>TEXT(G396,"dddd")</f>
        <v>Thursday</v>
      </c>
      <c r="F396" s="4" t="str">
        <f>TEXT(G396,"mmm")</f>
        <v>Aug</v>
      </c>
      <c r="G396" s="3">
        <v>45148</v>
      </c>
      <c r="H396" s="4" t="s">
        <v>429</v>
      </c>
      <c r="I396" s="4" t="s">
        <v>24</v>
      </c>
      <c r="J396" s="4" t="str" cm="1">
        <f t="array" ref="J396">_xlfn.IFS(K396&lt;30,"Young Adult",K396&lt;=50,"Adult",K396&gt;50,"Senior")</f>
        <v>Young Adult</v>
      </c>
      <c r="K396" s="4">
        <v>21</v>
      </c>
      <c r="L396" s="4" t="s">
        <v>8</v>
      </c>
      <c r="M396" s="4">
        <v>4</v>
      </c>
      <c r="N396" s="19">
        <v>50</v>
      </c>
      <c r="O396" s="15">
        <f>M396 * N396</f>
        <v>200</v>
      </c>
      <c r="P396" s="15">
        <f>O396*$S$3</f>
        <v>3</v>
      </c>
      <c r="Q396" s="15">
        <f>O396*$S$4</f>
        <v>4</v>
      </c>
    </row>
    <row r="397" spans="1:17">
      <c r="A397" s="2">
        <v>259</v>
      </c>
      <c r="B397" s="4">
        <f>DAY(G397)</f>
        <v>9</v>
      </c>
      <c r="C397" s="4">
        <f>MONTH(G397)</f>
        <v>8</v>
      </c>
      <c r="D397" s="4">
        <f>YEAR(G397)</f>
        <v>2023</v>
      </c>
      <c r="E397" s="4" t="str">
        <f>TEXT(G397,"dddd")</f>
        <v>Wednesday</v>
      </c>
      <c r="F397" s="4" t="str">
        <f>TEXT(G397,"mmm")</f>
        <v>Aug</v>
      </c>
      <c r="G397" s="3">
        <v>45147</v>
      </c>
      <c r="H397" s="4" t="s">
        <v>430</v>
      </c>
      <c r="I397" s="4" t="s">
        <v>29</v>
      </c>
      <c r="J397" s="4" t="str" cm="1">
        <f t="array" ref="J397">_xlfn.IFS(K397&lt;30,"Young Adult",K397&lt;=50,"Adult",K397&gt;50,"Senior")</f>
        <v>Adult</v>
      </c>
      <c r="K397" s="4">
        <v>45</v>
      </c>
      <c r="L397" s="4" t="s">
        <v>8</v>
      </c>
      <c r="M397" s="4">
        <v>4</v>
      </c>
      <c r="N397" s="19">
        <v>50</v>
      </c>
      <c r="O397" s="15">
        <f>M397 * N397</f>
        <v>200</v>
      </c>
      <c r="P397" s="15">
        <f>O397*$S$3</f>
        <v>3</v>
      </c>
      <c r="Q397" s="15">
        <f>O397*$S$4</f>
        <v>4</v>
      </c>
    </row>
    <row r="398" spans="1:17">
      <c r="A398" s="2">
        <v>529</v>
      </c>
      <c r="B398" s="4">
        <f>DAY(G398)</f>
        <v>9</v>
      </c>
      <c r="C398" s="4">
        <f>MONTH(G398)</f>
        <v>8</v>
      </c>
      <c r="D398" s="4">
        <f>YEAR(G398)</f>
        <v>2023</v>
      </c>
      <c r="E398" s="4" t="str">
        <f>TEXT(G398,"dddd")</f>
        <v>Wednesday</v>
      </c>
      <c r="F398" s="4" t="str">
        <f>TEXT(G398,"mmm")</f>
        <v>Aug</v>
      </c>
      <c r="G398" s="3">
        <v>45147</v>
      </c>
      <c r="H398" s="4" t="s">
        <v>431</v>
      </c>
      <c r="I398" s="4" t="s">
        <v>29</v>
      </c>
      <c r="J398" s="4" t="str" cm="1">
        <f t="array" ref="J398">_xlfn.IFS(K398&lt;30,"Young Adult",K398&lt;=50,"Adult",K398&gt;50,"Senior")</f>
        <v>Adult</v>
      </c>
      <c r="K398" s="4">
        <v>35</v>
      </c>
      <c r="L398" s="4" t="s">
        <v>8</v>
      </c>
      <c r="M398" s="4">
        <v>3</v>
      </c>
      <c r="N398" s="19">
        <v>50</v>
      </c>
      <c r="O398" s="15">
        <f>M398 * N398</f>
        <v>150</v>
      </c>
      <c r="P398" s="15">
        <f>O398*$S$3</f>
        <v>2.25</v>
      </c>
      <c r="Q398" s="15">
        <f>O398*$S$4</f>
        <v>3</v>
      </c>
    </row>
    <row r="399" spans="1:17">
      <c r="A399" s="2">
        <v>443</v>
      </c>
      <c r="B399" s="4">
        <f>DAY(G399)</f>
        <v>9</v>
      </c>
      <c r="C399" s="4">
        <f>MONTH(G399)</f>
        <v>8</v>
      </c>
      <c r="D399" s="4">
        <f>YEAR(G399)</f>
        <v>2023</v>
      </c>
      <c r="E399" s="4" t="str">
        <f>TEXT(G399,"dddd")</f>
        <v>Wednesday</v>
      </c>
      <c r="F399" s="4" t="str">
        <f>TEXT(G399,"mmm")</f>
        <v>Aug</v>
      </c>
      <c r="G399" s="3">
        <v>45147</v>
      </c>
      <c r="H399" s="4" t="s">
        <v>432</v>
      </c>
      <c r="I399" s="4" t="s">
        <v>24</v>
      </c>
      <c r="J399" s="4" t="str" cm="1">
        <f t="array" ref="J399">_xlfn.IFS(K399&lt;30,"Young Adult",K399&lt;=50,"Adult",K399&gt;50,"Senior")</f>
        <v>Young Adult</v>
      </c>
      <c r="K399" s="4">
        <v>29</v>
      </c>
      <c r="L399" s="4" t="s">
        <v>8</v>
      </c>
      <c r="M399" s="4">
        <v>2</v>
      </c>
      <c r="N399" s="19">
        <v>300</v>
      </c>
      <c r="O399" s="15">
        <f>M399 * N399</f>
        <v>600</v>
      </c>
      <c r="P399" s="15">
        <f>O399*$S$3</f>
        <v>9</v>
      </c>
      <c r="Q399" s="15">
        <f>O399*$S$4</f>
        <v>12</v>
      </c>
    </row>
    <row r="400" spans="1:17">
      <c r="A400" s="2">
        <v>563</v>
      </c>
      <c r="B400" s="4">
        <f>DAY(G400)</f>
        <v>9</v>
      </c>
      <c r="C400" s="4">
        <f>MONTH(G400)</f>
        <v>8</v>
      </c>
      <c r="D400" s="4">
        <f>YEAR(G400)</f>
        <v>2023</v>
      </c>
      <c r="E400" s="4" t="str">
        <f>TEXT(G400,"dddd")</f>
        <v>Wednesday</v>
      </c>
      <c r="F400" s="4" t="str">
        <f>TEXT(G400,"mmm")</f>
        <v>Aug</v>
      </c>
      <c r="G400" s="3">
        <v>45147</v>
      </c>
      <c r="H400" s="4" t="s">
        <v>433</v>
      </c>
      <c r="I400" s="4" t="s">
        <v>24</v>
      </c>
      <c r="J400" s="4" t="str" cm="1">
        <f t="array" ref="J400">_xlfn.IFS(K400&lt;30,"Young Adult",K400&lt;=50,"Adult",K400&gt;50,"Senior")</f>
        <v>Young Adult</v>
      </c>
      <c r="K400" s="4">
        <v>20</v>
      </c>
      <c r="L400" s="4" t="s">
        <v>8</v>
      </c>
      <c r="M400" s="4">
        <v>2</v>
      </c>
      <c r="N400" s="19">
        <v>30</v>
      </c>
      <c r="O400" s="15">
        <f>M400 * N400</f>
        <v>60</v>
      </c>
      <c r="P400" s="15">
        <f>O400*$S$3</f>
        <v>0.89999999999999991</v>
      </c>
      <c r="Q400" s="15">
        <f>O400*$S$4</f>
        <v>1.2</v>
      </c>
    </row>
    <row r="401" spans="1:17">
      <c r="A401" s="2">
        <v>790</v>
      </c>
      <c r="B401" s="4">
        <f>DAY(G401)</f>
        <v>8</v>
      </c>
      <c r="C401" s="4">
        <f>MONTH(G401)</f>
        <v>8</v>
      </c>
      <c r="D401" s="4">
        <f>YEAR(G401)</f>
        <v>2023</v>
      </c>
      <c r="E401" s="4" t="str">
        <f>TEXT(G401,"dddd")</f>
        <v>Tuesday</v>
      </c>
      <c r="F401" s="4" t="str">
        <f>TEXT(G401,"mmm")</f>
        <v>Aug</v>
      </c>
      <c r="G401" s="3">
        <v>45146</v>
      </c>
      <c r="H401" s="4" t="s">
        <v>434</v>
      </c>
      <c r="I401" s="4" t="s">
        <v>24</v>
      </c>
      <c r="J401" s="4" t="str" cm="1">
        <f t="array" ref="J401">_xlfn.IFS(K401&lt;30,"Young Adult",K401&lt;=50,"Adult",K401&gt;50,"Senior")</f>
        <v>Senior</v>
      </c>
      <c r="K401" s="4">
        <v>62</v>
      </c>
      <c r="L401" s="4" t="s">
        <v>8</v>
      </c>
      <c r="M401" s="4">
        <v>1</v>
      </c>
      <c r="N401" s="19">
        <v>25</v>
      </c>
      <c r="O401" s="15">
        <f>M401 * N401</f>
        <v>25</v>
      </c>
      <c r="P401" s="15">
        <f>O401*$S$3</f>
        <v>0.375</v>
      </c>
      <c r="Q401" s="15">
        <f>O401*$S$4</f>
        <v>0.5</v>
      </c>
    </row>
    <row r="402" spans="1:17">
      <c r="A402" s="2">
        <v>716</v>
      </c>
      <c r="B402" s="4">
        <f>DAY(G402)</f>
        <v>8</v>
      </c>
      <c r="C402" s="4">
        <f>MONTH(G402)</f>
        <v>8</v>
      </c>
      <c r="D402" s="4">
        <f>YEAR(G402)</f>
        <v>2023</v>
      </c>
      <c r="E402" s="4" t="str">
        <f>TEXT(G402,"dddd")</f>
        <v>Tuesday</v>
      </c>
      <c r="F402" s="4" t="str">
        <f>TEXT(G402,"mmm")</f>
        <v>Aug</v>
      </c>
      <c r="G402" s="3">
        <v>45146</v>
      </c>
      <c r="H402" s="4" t="s">
        <v>435</v>
      </c>
      <c r="I402" s="4" t="s">
        <v>29</v>
      </c>
      <c r="J402" s="4" t="str" cm="1">
        <f t="array" ref="J402">_xlfn.IFS(K402&lt;30,"Young Adult",K402&lt;=50,"Adult",K402&gt;50,"Senior")</f>
        <v>Senior</v>
      </c>
      <c r="K402" s="4">
        <v>60</v>
      </c>
      <c r="L402" s="4" t="s">
        <v>8</v>
      </c>
      <c r="M402" s="4">
        <v>4</v>
      </c>
      <c r="N402" s="19">
        <v>300</v>
      </c>
      <c r="O402" s="15">
        <f>M402 * N402</f>
        <v>1200</v>
      </c>
      <c r="P402" s="15">
        <f>O402*$S$3</f>
        <v>18</v>
      </c>
      <c r="Q402" s="15">
        <f>O402*$S$4</f>
        <v>24</v>
      </c>
    </row>
    <row r="403" spans="1:17">
      <c r="A403" s="2">
        <v>960</v>
      </c>
      <c r="B403" s="4">
        <f>DAY(G403)</f>
        <v>8</v>
      </c>
      <c r="C403" s="4">
        <f>MONTH(G403)</f>
        <v>8</v>
      </c>
      <c r="D403" s="4">
        <f>YEAR(G403)</f>
        <v>2023</v>
      </c>
      <c r="E403" s="4" t="str">
        <f>TEXT(G403,"dddd")</f>
        <v>Tuesday</v>
      </c>
      <c r="F403" s="4" t="str">
        <f>TEXT(G403,"mmm")</f>
        <v>Aug</v>
      </c>
      <c r="G403" s="3">
        <v>45146</v>
      </c>
      <c r="H403" s="4" t="s">
        <v>436</v>
      </c>
      <c r="I403" s="4" t="s">
        <v>24</v>
      </c>
      <c r="J403" s="4" t="str" cm="1">
        <f t="array" ref="J403">_xlfn.IFS(K403&lt;30,"Young Adult",K403&lt;=50,"Adult",K403&gt;50,"Senior")</f>
        <v>Senior</v>
      </c>
      <c r="K403" s="4">
        <v>59</v>
      </c>
      <c r="L403" s="4" t="s">
        <v>8</v>
      </c>
      <c r="M403" s="4">
        <v>2</v>
      </c>
      <c r="N403" s="19">
        <v>30</v>
      </c>
      <c r="O403" s="15">
        <f>M403 * N403</f>
        <v>60</v>
      </c>
      <c r="P403" s="15">
        <f>O403*$S$3</f>
        <v>0.89999999999999991</v>
      </c>
      <c r="Q403" s="15">
        <f>O403*$S$4</f>
        <v>1.2</v>
      </c>
    </row>
    <row r="404" spans="1:17">
      <c r="A404" s="2">
        <v>125</v>
      </c>
      <c r="B404" s="4">
        <f>DAY(G404)</f>
        <v>8</v>
      </c>
      <c r="C404" s="4">
        <f>MONTH(G404)</f>
        <v>8</v>
      </c>
      <c r="D404" s="4">
        <f>YEAR(G404)</f>
        <v>2023</v>
      </c>
      <c r="E404" s="4" t="str">
        <f>TEXT(G404,"dddd")</f>
        <v>Tuesday</v>
      </c>
      <c r="F404" s="4" t="str">
        <f>TEXT(G404,"mmm")</f>
        <v>Aug</v>
      </c>
      <c r="G404" s="3">
        <v>45146</v>
      </c>
      <c r="H404" s="4" t="s">
        <v>437</v>
      </c>
      <c r="I404" s="4" t="s">
        <v>24</v>
      </c>
      <c r="J404" s="4" t="str" cm="1">
        <f t="array" ref="J404">_xlfn.IFS(K404&lt;30,"Young Adult",K404&lt;=50,"Adult",K404&gt;50,"Senior")</f>
        <v>Adult</v>
      </c>
      <c r="K404" s="4">
        <v>48</v>
      </c>
      <c r="L404" s="4" t="s">
        <v>8</v>
      </c>
      <c r="M404" s="4">
        <v>2</v>
      </c>
      <c r="N404" s="19">
        <v>50</v>
      </c>
      <c r="O404" s="15">
        <f>M404 * N404</f>
        <v>100</v>
      </c>
      <c r="P404" s="15">
        <f>O404*$S$3</f>
        <v>1.5</v>
      </c>
      <c r="Q404" s="15">
        <f>O404*$S$4</f>
        <v>2</v>
      </c>
    </row>
    <row r="405" spans="1:17">
      <c r="A405" s="2">
        <v>430</v>
      </c>
      <c r="B405" s="4">
        <f>DAY(G405)</f>
        <v>7</v>
      </c>
      <c r="C405" s="4">
        <f>MONTH(G405)</f>
        <v>8</v>
      </c>
      <c r="D405" s="4">
        <f>YEAR(G405)</f>
        <v>2023</v>
      </c>
      <c r="E405" s="4" t="str">
        <f>TEXT(G405,"dddd")</f>
        <v>Monday</v>
      </c>
      <c r="F405" s="4" t="str">
        <f>TEXT(G405,"mmm")</f>
        <v>Aug</v>
      </c>
      <c r="G405" s="3">
        <v>45145</v>
      </c>
      <c r="H405" s="4" t="s">
        <v>438</v>
      </c>
      <c r="I405" s="4" t="s">
        <v>29</v>
      </c>
      <c r="J405" s="4" t="str" cm="1">
        <f t="array" ref="J405">_xlfn.IFS(K405&lt;30,"Young Adult",K405&lt;=50,"Adult",K405&gt;50,"Senior")</f>
        <v>Adult</v>
      </c>
      <c r="K405" s="4">
        <v>43</v>
      </c>
      <c r="L405" s="4" t="s">
        <v>9</v>
      </c>
      <c r="M405" s="4">
        <v>3</v>
      </c>
      <c r="N405" s="19">
        <v>300</v>
      </c>
      <c r="O405" s="15">
        <f>M405 * N405</f>
        <v>900</v>
      </c>
      <c r="P405" s="15">
        <f>O405*$S$3</f>
        <v>13.5</v>
      </c>
      <c r="Q405" s="15">
        <f>O405*$S$4</f>
        <v>18</v>
      </c>
    </row>
    <row r="406" spans="1:17">
      <c r="A406" s="2">
        <v>633</v>
      </c>
      <c r="B406" s="4">
        <f>DAY(G406)</f>
        <v>7</v>
      </c>
      <c r="C406" s="4">
        <f>MONTH(G406)</f>
        <v>8</v>
      </c>
      <c r="D406" s="4">
        <f>YEAR(G406)</f>
        <v>2023</v>
      </c>
      <c r="E406" s="4" t="str">
        <f>TEXT(G406,"dddd")</f>
        <v>Monday</v>
      </c>
      <c r="F406" s="4" t="str">
        <f>TEXT(G406,"mmm")</f>
        <v>Aug</v>
      </c>
      <c r="G406" s="3">
        <v>45145</v>
      </c>
      <c r="H406" s="4" t="s">
        <v>439</v>
      </c>
      <c r="I406" s="4" t="s">
        <v>24</v>
      </c>
      <c r="J406" s="4" t="str" cm="1">
        <f t="array" ref="J406">_xlfn.IFS(K406&lt;30,"Young Adult",K406&lt;=50,"Adult",K406&gt;50,"Senior")</f>
        <v>Adult</v>
      </c>
      <c r="K406" s="4">
        <v>39</v>
      </c>
      <c r="L406" s="4" t="s">
        <v>7</v>
      </c>
      <c r="M406" s="4">
        <v>4</v>
      </c>
      <c r="N406" s="19">
        <v>30</v>
      </c>
      <c r="O406" s="15">
        <f>M406 * N406</f>
        <v>120</v>
      </c>
      <c r="P406" s="15">
        <f>O406*$S$3</f>
        <v>1.7999999999999998</v>
      </c>
      <c r="Q406" s="15">
        <f>O406*$S$4</f>
        <v>2.4</v>
      </c>
    </row>
    <row r="407" spans="1:17">
      <c r="A407" s="2">
        <v>612</v>
      </c>
      <c r="B407" s="4">
        <f>DAY(G407)</f>
        <v>6</v>
      </c>
      <c r="C407" s="4">
        <f>MONTH(G407)</f>
        <v>8</v>
      </c>
      <c r="D407" s="4">
        <f>YEAR(G407)</f>
        <v>2023</v>
      </c>
      <c r="E407" s="4" t="str">
        <f>TEXT(G407,"dddd")</f>
        <v>Sunday</v>
      </c>
      <c r="F407" s="4" t="str">
        <f>TEXT(G407,"mmm")</f>
        <v>Aug</v>
      </c>
      <c r="G407" s="3">
        <v>45144</v>
      </c>
      <c r="H407" s="4" t="s">
        <v>440</v>
      </c>
      <c r="I407" s="4" t="s">
        <v>29</v>
      </c>
      <c r="J407" s="4" t="str" cm="1">
        <f t="array" ref="J407">_xlfn.IFS(K407&lt;30,"Young Adult",K407&lt;=50,"Adult",K407&gt;50,"Senior")</f>
        <v>Senior</v>
      </c>
      <c r="K407" s="4">
        <v>61</v>
      </c>
      <c r="L407" s="4" t="s">
        <v>9</v>
      </c>
      <c r="M407" s="4">
        <v>1</v>
      </c>
      <c r="N407" s="19">
        <v>500</v>
      </c>
      <c r="O407" s="15">
        <f>M407 * N407</f>
        <v>500</v>
      </c>
      <c r="P407" s="15">
        <f>O407*$S$3</f>
        <v>7.5</v>
      </c>
      <c r="Q407" s="15">
        <f>O407*$S$4</f>
        <v>10</v>
      </c>
    </row>
    <row r="408" spans="1:17">
      <c r="A408" s="2">
        <v>875</v>
      </c>
      <c r="B408" s="4">
        <f>DAY(G408)</f>
        <v>6</v>
      </c>
      <c r="C408" s="4">
        <f>MONTH(G408)</f>
        <v>8</v>
      </c>
      <c r="D408" s="4">
        <f>YEAR(G408)</f>
        <v>2023</v>
      </c>
      <c r="E408" s="4" t="str">
        <f>TEXT(G408,"dddd")</f>
        <v>Sunday</v>
      </c>
      <c r="F408" s="4" t="str">
        <f>TEXT(G408,"mmm")</f>
        <v>Aug</v>
      </c>
      <c r="G408" s="3">
        <v>45144</v>
      </c>
      <c r="H408" s="4" t="s">
        <v>441</v>
      </c>
      <c r="I408" s="4" t="s">
        <v>29</v>
      </c>
      <c r="J408" s="4" t="str" cm="1">
        <f t="array" ref="J408">_xlfn.IFS(K408&lt;30,"Young Adult",K408&lt;=50,"Adult",K408&gt;50,"Senior")</f>
        <v>Senior</v>
      </c>
      <c r="K408" s="4">
        <v>51</v>
      </c>
      <c r="L408" s="4" t="s">
        <v>9</v>
      </c>
      <c r="M408" s="4">
        <v>4</v>
      </c>
      <c r="N408" s="19">
        <v>500</v>
      </c>
      <c r="O408" s="15">
        <f>M408 * N408</f>
        <v>2000</v>
      </c>
      <c r="P408" s="15">
        <f>O408*$S$3</f>
        <v>30</v>
      </c>
      <c r="Q408" s="15">
        <f>O408*$S$4</f>
        <v>40</v>
      </c>
    </row>
    <row r="409" spans="1:17">
      <c r="A409" s="2">
        <v>206</v>
      </c>
      <c r="B409" s="4">
        <f>DAY(G409)</f>
        <v>5</v>
      </c>
      <c r="C409" s="4">
        <f>MONTH(G409)</f>
        <v>8</v>
      </c>
      <c r="D409" s="4">
        <f>YEAR(G409)</f>
        <v>2023</v>
      </c>
      <c r="E409" s="4" t="str">
        <f>TEXT(G409,"dddd")</f>
        <v>Saturday</v>
      </c>
      <c r="F409" s="4" t="str">
        <f>TEXT(G409,"mmm")</f>
        <v>Aug</v>
      </c>
      <c r="G409" s="3">
        <v>45143</v>
      </c>
      <c r="H409" s="4" t="s">
        <v>442</v>
      </c>
      <c r="I409" s="4" t="s">
        <v>24</v>
      </c>
      <c r="J409" s="4" t="str" cm="1">
        <f t="array" ref="J409">_xlfn.IFS(K409&lt;30,"Young Adult",K409&lt;=50,"Adult",K409&gt;50,"Senior")</f>
        <v>Senior</v>
      </c>
      <c r="K409" s="4">
        <v>61</v>
      </c>
      <c r="L409" s="4" t="s">
        <v>8</v>
      </c>
      <c r="M409" s="4">
        <v>1</v>
      </c>
      <c r="N409" s="19">
        <v>25</v>
      </c>
      <c r="O409" s="15">
        <f>M409 * N409</f>
        <v>25</v>
      </c>
      <c r="P409" s="15">
        <f>O409*$S$3</f>
        <v>0.375</v>
      </c>
      <c r="Q409" s="15">
        <f>O409*$S$4</f>
        <v>0.5</v>
      </c>
    </row>
    <row r="410" spans="1:17">
      <c r="A410" s="2">
        <v>418</v>
      </c>
      <c r="B410" s="4">
        <f>DAY(G410)</f>
        <v>5</v>
      </c>
      <c r="C410" s="4">
        <f>MONTH(G410)</f>
        <v>8</v>
      </c>
      <c r="D410" s="4">
        <f>YEAR(G410)</f>
        <v>2023</v>
      </c>
      <c r="E410" s="4" t="str">
        <f>TEXT(G410,"dddd")</f>
        <v>Saturday</v>
      </c>
      <c r="F410" s="4" t="str">
        <f>TEXT(G410,"mmm")</f>
        <v>Aug</v>
      </c>
      <c r="G410" s="3">
        <v>45143</v>
      </c>
      <c r="H410" s="4" t="s">
        <v>443</v>
      </c>
      <c r="I410" s="4" t="s">
        <v>29</v>
      </c>
      <c r="J410" s="4" t="str" cm="1">
        <f t="array" ref="J410">_xlfn.IFS(K410&lt;30,"Young Adult",K410&lt;=50,"Adult",K410&gt;50,"Senior")</f>
        <v>Senior</v>
      </c>
      <c r="K410" s="4">
        <v>60</v>
      </c>
      <c r="L410" s="4" t="s">
        <v>9</v>
      </c>
      <c r="M410" s="4">
        <v>2</v>
      </c>
      <c r="N410" s="19">
        <v>500</v>
      </c>
      <c r="O410" s="15">
        <f>M410 * N410</f>
        <v>1000</v>
      </c>
      <c r="P410" s="15">
        <f>O410*$S$3</f>
        <v>15</v>
      </c>
      <c r="Q410" s="15">
        <f>O410*$S$4</f>
        <v>20</v>
      </c>
    </row>
    <row r="411" spans="1:17">
      <c r="A411" s="2">
        <v>35</v>
      </c>
      <c r="B411" s="4">
        <f>DAY(G411)</f>
        <v>5</v>
      </c>
      <c r="C411" s="4">
        <f>MONTH(G411)</f>
        <v>8</v>
      </c>
      <c r="D411" s="4">
        <f>YEAR(G411)</f>
        <v>2023</v>
      </c>
      <c r="E411" s="4" t="str">
        <f>TEXT(G411,"dddd")</f>
        <v>Saturday</v>
      </c>
      <c r="F411" s="4" t="str">
        <f>TEXT(G411,"mmm")</f>
        <v>Aug</v>
      </c>
      <c r="G411" s="3">
        <v>45143</v>
      </c>
      <c r="H411" s="4" t="s">
        <v>444</v>
      </c>
      <c r="I411" s="4" t="s">
        <v>29</v>
      </c>
      <c r="J411" s="4" t="str" cm="1">
        <f t="array" ref="J411">_xlfn.IFS(K411&lt;30,"Young Adult",K411&lt;=50,"Adult",K411&gt;50,"Senior")</f>
        <v>Senior</v>
      </c>
      <c r="K411" s="4">
        <v>58</v>
      </c>
      <c r="L411" s="4" t="s">
        <v>7</v>
      </c>
      <c r="M411" s="4">
        <v>3</v>
      </c>
      <c r="N411" s="19">
        <v>300</v>
      </c>
      <c r="O411" s="15">
        <f>M411 * N411</f>
        <v>900</v>
      </c>
      <c r="P411" s="15">
        <f>O411*$S$3</f>
        <v>13.5</v>
      </c>
      <c r="Q411" s="15">
        <f>O411*$S$4</f>
        <v>18</v>
      </c>
    </row>
    <row r="412" spans="1:17">
      <c r="A412" s="2">
        <v>279</v>
      </c>
      <c r="B412" s="4">
        <f>DAY(G412)</f>
        <v>5</v>
      </c>
      <c r="C412" s="4">
        <f>MONTH(G412)</f>
        <v>8</v>
      </c>
      <c r="D412" s="4">
        <f>YEAR(G412)</f>
        <v>2023</v>
      </c>
      <c r="E412" s="4" t="str">
        <f>TEXT(G412,"dddd")</f>
        <v>Saturday</v>
      </c>
      <c r="F412" s="4" t="str">
        <f>TEXT(G412,"mmm")</f>
        <v>Aug</v>
      </c>
      <c r="G412" s="3">
        <v>45143</v>
      </c>
      <c r="H412" s="4" t="s">
        <v>445</v>
      </c>
      <c r="I412" s="4" t="s">
        <v>24</v>
      </c>
      <c r="J412" s="4" t="str" cm="1">
        <f t="array" ref="J412">_xlfn.IFS(K412&lt;30,"Young Adult",K412&lt;=50,"Adult",K412&gt;50,"Senior")</f>
        <v>Adult</v>
      </c>
      <c r="K412" s="4">
        <v>50</v>
      </c>
      <c r="L412" s="4" t="s">
        <v>8</v>
      </c>
      <c r="M412" s="4">
        <v>1</v>
      </c>
      <c r="N412" s="19">
        <v>500</v>
      </c>
      <c r="O412" s="15">
        <f>M412 * N412</f>
        <v>500</v>
      </c>
      <c r="P412" s="15">
        <f>O412*$S$3</f>
        <v>7.5</v>
      </c>
      <c r="Q412" s="15">
        <f>O412*$S$4</f>
        <v>10</v>
      </c>
    </row>
    <row r="413" spans="1:17">
      <c r="A413" s="2">
        <v>140</v>
      </c>
      <c r="B413" s="4">
        <f>DAY(G413)</f>
        <v>5</v>
      </c>
      <c r="C413" s="4">
        <f>MONTH(G413)</f>
        <v>8</v>
      </c>
      <c r="D413" s="4">
        <f>YEAR(G413)</f>
        <v>2023</v>
      </c>
      <c r="E413" s="4" t="str">
        <f>TEXT(G413,"dddd")</f>
        <v>Saturday</v>
      </c>
      <c r="F413" s="4" t="str">
        <f>TEXT(G413,"mmm")</f>
        <v>Aug</v>
      </c>
      <c r="G413" s="3">
        <v>45143</v>
      </c>
      <c r="H413" s="4" t="s">
        <v>446</v>
      </c>
      <c r="I413" s="4" t="s">
        <v>24</v>
      </c>
      <c r="J413" s="4" t="str" cm="1">
        <f t="array" ref="J413">_xlfn.IFS(K413&lt;30,"Young Adult",K413&lt;=50,"Adult",K413&gt;50,"Senior")</f>
        <v>Adult</v>
      </c>
      <c r="K413" s="4">
        <v>38</v>
      </c>
      <c r="L413" s="4" t="s">
        <v>9</v>
      </c>
      <c r="M413" s="4">
        <v>1</v>
      </c>
      <c r="N413" s="19">
        <v>30</v>
      </c>
      <c r="O413" s="15">
        <f>M413 * N413</f>
        <v>30</v>
      </c>
      <c r="P413" s="15">
        <f>O413*$S$3</f>
        <v>0.44999999999999996</v>
      </c>
      <c r="Q413" s="15">
        <f>O413*$S$4</f>
        <v>0.6</v>
      </c>
    </row>
    <row r="414" spans="1:17">
      <c r="A414" s="2">
        <v>308</v>
      </c>
      <c r="B414" s="4">
        <f>DAY(G414)</f>
        <v>5</v>
      </c>
      <c r="C414" s="4">
        <f>MONTH(G414)</f>
        <v>8</v>
      </c>
      <c r="D414" s="4">
        <f>YEAR(G414)</f>
        <v>2023</v>
      </c>
      <c r="E414" s="4" t="str">
        <f>TEXT(G414,"dddd")</f>
        <v>Saturday</v>
      </c>
      <c r="F414" s="4" t="str">
        <f>TEXT(G414,"mmm")</f>
        <v>Aug</v>
      </c>
      <c r="G414" s="3">
        <v>45143</v>
      </c>
      <c r="H414" s="4" t="s">
        <v>447</v>
      </c>
      <c r="I414" s="4" t="s">
        <v>29</v>
      </c>
      <c r="J414" s="4" t="str" cm="1">
        <f t="array" ref="J414">_xlfn.IFS(K414&lt;30,"Young Adult",K414&lt;=50,"Adult",K414&gt;50,"Senior")</f>
        <v>Adult</v>
      </c>
      <c r="K414" s="4">
        <v>34</v>
      </c>
      <c r="L414" s="4" t="s">
        <v>7</v>
      </c>
      <c r="M414" s="4">
        <v>4</v>
      </c>
      <c r="N414" s="19">
        <v>300</v>
      </c>
      <c r="O414" s="15">
        <f>M414 * N414</f>
        <v>1200</v>
      </c>
      <c r="P414" s="15">
        <f>O414*$S$3</f>
        <v>18</v>
      </c>
      <c r="Q414" s="15">
        <f>O414*$S$4</f>
        <v>24</v>
      </c>
    </row>
    <row r="415" spans="1:17">
      <c r="A415" s="2">
        <v>13</v>
      </c>
      <c r="B415" s="4">
        <f>DAY(G415)</f>
        <v>5</v>
      </c>
      <c r="C415" s="4">
        <f>MONTH(G415)</f>
        <v>8</v>
      </c>
      <c r="D415" s="4">
        <f>YEAR(G415)</f>
        <v>2023</v>
      </c>
      <c r="E415" s="4" t="str">
        <f>TEXT(G415,"dddd")</f>
        <v>Saturday</v>
      </c>
      <c r="F415" s="4" t="str">
        <f>TEXT(G415,"mmm")</f>
        <v>Aug</v>
      </c>
      <c r="G415" s="3">
        <v>45143</v>
      </c>
      <c r="H415" s="4" t="s">
        <v>448</v>
      </c>
      <c r="I415" s="4" t="s">
        <v>24</v>
      </c>
      <c r="J415" s="4" t="str" cm="1">
        <f t="array" ref="J415">_xlfn.IFS(K415&lt;30,"Young Adult",K415&lt;=50,"Adult",K415&gt;50,"Senior")</f>
        <v>Young Adult</v>
      </c>
      <c r="K415" s="4">
        <v>22</v>
      </c>
      <c r="L415" s="4" t="s">
        <v>9</v>
      </c>
      <c r="M415" s="4">
        <v>3</v>
      </c>
      <c r="N415" s="19">
        <v>500</v>
      </c>
      <c r="O415" s="15">
        <f>M415 * N415</f>
        <v>1500</v>
      </c>
      <c r="P415" s="15">
        <f>O415*$S$3</f>
        <v>22.5</v>
      </c>
      <c r="Q415" s="15">
        <f>O415*$S$4</f>
        <v>30</v>
      </c>
    </row>
    <row r="416" spans="1:17">
      <c r="A416" s="2">
        <v>261</v>
      </c>
      <c r="B416" s="4">
        <f>DAY(G416)</f>
        <v>5</v>
      </c>
      <c r="C416" s="4">
        <f>MONTH(G416)</f>
        <v>8</v>
      </c>
      <c r="D416" s="4">
        <f>YEAR(G416)</f>
        <v>2023</v>
      </c>
      <c r="E416" s="4" t="str">
        <f>TEXT(G416,"dddd")</f>
        <v>Saturday</v>
      </c>
      <c r="F416" s="4" t="str">
        <f>TEXT(G416,"mmm")</f>
        <v>Aug</v>
      </c>
      <c r="G416" s="3">
        <v>45143</v>
      </c>
      <c r="H416" s="4" t="s">
        <v>449</v>
      </c>
      <c r="I416" s="4" t="s">
        <v>24</v>
      </c>
      <c r="J416" s="4" t="str" cm="1">
        <f t="array" ref="J416">_xlfn.IFS(K416&lt;30,"Young Adult",K416&lt;=50,"Adult",K416&gt;50,"Senior")</f>
        <v>Young Adult</v>
      </c>
      <c r="K416" s="4">
        <v>21</v>
      </c>
      <c r="L416" s="4" t="s">
        <v>8</v>
      </c>
      <c r="M416" s="4">
        <v>2</v>
      </c>
      <c r="N416" s="19">
        <v>25</v>
      </c>
      <c r="O416" s="15">
        <f>M416 * N416</f>
        <v>50</v>
      </c>
      <c r="P416" s="15">
        <f>O416*$S$3</f>
        <v>0.75</v>
      </c>
      <c r="Q416" s="15">
        <f>O416*$S$4</f>
        <v>1</v>
      </c>
    </row>
    <row r="417" spans="1:17">
      <c r="A417" s="2">
        <v>798</v>
      </c>
      <c r="B417" s="4">
        <f>DAY(G417)</f>
        <v>4</v>
      </c>
      <c r="C417" s="4">
        <f>MONTH(G417)</f>
        <v>8</v>
      </c>
      <c r="D417" s="4">
        <f>YEAR(G417)</f>
        <v>2023</v>
      </c>
      <c r="E417" s="4" t="str">
        <f>TEXT(G417,"dddd")</f>
        <v>Friday</v>
      </c>
      <c r="F417" s="4" t="str">
        <f>TEXT(G417,"mmm")</f>
        <v>Aug</v>
      </c>
      <c r="G417" s="3">
        <v>45142</v>
      </c>
      <c r="H417" s="4" t="s">
        <v>450</v>
      </c>
      <c r="I417" s="4" t="s">
        <v>24</v>
      </c>
      <c r="J417" s="4" t="str" cm="1">
        <f t="array" ref="J417">_xlfn.IFS(K417&lt;30,"Young Adult",K417&lt;=50,"Adult",K417&gt;50,"Senior")</f>
        <v>Senior</v>
      </c>
      <c r="K417" s="4">
        <v>61</v>
      </c>
      <c r="L417" s="4" t="s">
        <v>8</v>
      </c>
      <c r="M417" s="4">
        <v>1</v>
      </c>
      <c r="N417" s="19">
        <v>50</v>
      </c>
      <c r="O417" s="15">
        <f>M417 * N417</f>
        <v>50</v>
      </c>
      <c r="P417" s="15">
        <f>O417*$S$3</f>
        <v>0.75</v>
      </c>
      <c r="Q417" s="15">
        <f>O417*$S$4</f>
        <v>1</v>
      </c>
    </row>
    <row r="418" spans="1:17">
      <c r="A418" s="2">
        <v>549</v>
      </c>
      <c r="B418" s="4">
        <f>DAY(G418)</f>
        <v>4</v>
      </c>
      <c r="C418" s="4">
        <f>MONTH(G418)</f>
        <v>8</v>
      </c>
      <c r="D418" s="4">
        <f>YEAR(G418)</f>
        <v>2023</v>
      </c>
      <c r="E418" s="4" t="str">
        <f>TEXT(G418,"dddd")</f>
        <v>Friday</v>
      </c>
      <c r="F418" s="4" t="str">
        <f>TEXT(G418,"mmm")</f>
        <v>Aug</v>
      </c>
      <c r="G418" s="3">
        <v>45142</v>
      </c>
      <c r="H418" s="4" t="s">
        <v>451</v>
      </c>
      <c r="I418" s="4" t="s">
        <v>29</v>
      </c>
      <c r="J418" s="4" t="str" cm="1">
        <f t="array" ref="J418">_xlfn.IFS(K418&lt;30,"Young Adult",K418&lt;=50,"Adult",K418&gt;50,"Senior")</f>
        <v>Adult</v>
      </c>
      <c r="K418" s="4">
        <v>50</v>
      </c>
      <c r="L418" s="4" t="s">
        <v>7</v>
      </c>
      <c r="M418" s="4">
        <v>2</v>
      </c>
      <c r="N418" s="19">
        <v>50</v>
      </c>
      <c r="O418" s="15">
        <f>M418 * N418</f>
        <v>100</v>
      </c>
      <c r="P418" s="15">
        <f>O418*$S$3</f>
        <v>1.5</v>
      </c>
      <c r="Q418" s="15">
        <f>O418*$S$4</f>
        <v>2</v>
      </c>
    </row>
    <row r="419" spans="1:17">
      <c r="A419" s="2">
        <v>675</v>
      </c>
      <c r="B419" s="4">
        <f>DAY(G419)</f>
        <v>4</v>
      </c>
      <c r="C419" s="4">
        <f>MONTH(G419)</f>
        <v>8</v>
      </c>
      <c r="D419" s="4">
        <f>YEAR(G419)</f>
        <v>2023</v>
      </c>
      <c r="E419" s="4" t="str">
        <f>TEXT(G419,"dddd")</f>
        <v>Friday</v>
      </c>
      <c r="F419" s="4" t="str">
        <f>TEXT(G419,"mmm")</f>
        <v>Aug</v>
      </c>
      <c r="G419" s="3">
        <v>45142</v>
      </c>
      <c r="H419" s="4" t="s">
        <v>452</v>
      </c>
      <c r="I419" s="4" t="s">
        <v>29</v>
      </c>
      <c r="J419" s="4" t="str" cm="1">
        <f t="array" ref="J419">_xlfn.IFS(K419&lt;30,"Young Adult",K419&lt;=50,"Adult",K419&gt;50,"Senior")</f>
        <v>Adult</v>
      </c>
      <c r="K419" s="4">
        <v>45</v>
      </c>
      <c r="L419" s="4" t="s">
        <v>8</v>
      </c>
      <c r="M419" s="4">
        <v>2</v>
      </c>
      <c r="N419" s="19">
        <v>30</v>
      </c>
      <c r="O419" s="15">
        <f>M419 * N419</f>
        <v>60</v>
      </c>
      <c r="P419" s="15">
        <f>O419*$S$3</f>
        <v>0.89999999999999991</v>
      </c>
      <c r="Q419" s="15">
        <f>O419*$S$4</f>
        <v>1.2</v>
      </c>
    </row>
    <row r="420" spans="1:17">
      <c r="A420" s="2">
        <v>730</v>
      </c>
      <c r="B420" s="4">
        <f>DAY(G420)</f>
        <v>4</v>
      </c>
      <c r="C420" s="4">
        <f>MONTH(G420)</f>
        <v>8</v>
      </c>
      <c r="D420" s="4">
        <f>YEAR(G420)</f>
        <v>2023</v>
      </c>
      <c r="E420" s="4" t="str">
        <f>TEXT(G420,"dddd")</f>
        <v>Friday</v>
      </c>
      <c r="F420" s="4" t="str">
        <f>TEXT(G420,"mmm")</f>
        <v>Aug</v>
      </c>
      <c r="G420" s="3">
        <v>45142</v>
      </c>
      <c r="H420" s="4" t="s">
        <v>453</v>
      </c>
      <c r="I420" s="4" t="s">
        <v>29</v>
      </c>
      <c r="J420" s="4" t="str" cm="1">
        <f t="array" ref="J420">_xlfn.IFS(K420&lt;30,"Young Adult",K420&lt;=50,"Adult",K420&gt;50,"Senior")</f>
        <v>Adult</v>
      </c>
      <c r="K420" s="4">
        <v>36</v>
      </c>
      <c r="L420" s="4" t="s">
        <v>8</v>
      </c>
      <c r="M420" s="4">
        <v>2</v>
      </c>
      <c r="N420" s="19">
        <v>25</v>
      </c>
      <c r="O420" s="15">
        <f>M420 * N420</f>
        <v>50</v>
      </c>
      <c r="P420" s="15">
        <f>O420*$S$3</f>
        <v>0.75</v>
      </c>
      <c r="Q420" s="15">
        <f>O420*$S$4</f>
        <v>1</v>
      </c>
    </row>
    <row r="421" spans="1:17">
      <c r="A421" s="2">
        <v>687</v>
      </c>
      <c r="B421" s="4">
        <f>DAY(G421)</f>
        <v>3</v>
      </c>
      <c r="C421" s="4">
        <f>MONTH(G421)</f>
        <v>8</v>
      </c>
      <c r="D421" s="4">
        <f>YEAR(G421)</f>
        <v>2023</v>
      </c>
      <c r="E421" s="4" t="str">
        <f>TEXT(G421,"dddd")</f>
        <v>Thursday</v>
      </c>
      <c r="F421" s="4" t="str">
        <f>TEXT(G421,"mmm")</f>
        <v>Aug</v>
      </c>
      <c r="G421" s="3">
        <v>45141</v>
      </c>
      <c r="H421" s="4" t="s">
        <v>454</v>
      </c>
      <c r="I421" s="4" t="s">
        <v>29</v>
      </c>
      <c r="J421" s="4" t="str" cm="1">
        <f t="array" ref="J421">_xlfn.IFS(K421&lt;30,"Young Adult",K421&lt;=50,"Adult",K421&gt;50,"Senior")</f>
        <v>Senior</v>
      </c>
      <c r="K421" s="4">
        <v>53</v>
      </c>
      <c r="L421" s="4" t="s">
        <v>9</v>
      </c>
      <c r="M421" s="4">
        <v>1</v>
      </c>
      <c r="N421" s="19">
        <v>300</v>
      </c>
      <c r="O421" s="15">
        <f>M421 * N421</f>
        <v>300</v>
      </c>
      <c r="P421" s="15">
        <f>O421*$S$3</f>
        <v>4.5</v>
      </c>
      <c r="Q421" s="15">
        <f>O421*$S$4</f>
        <v>6</v>
      </c>
    </row>
    <row r="422" spans="1:17">
      <c r="A422" s="2">
        <v>347</v>
      </c>
      <c r="B422" s="4">
        <f>DAY(G422)</f>
        <v>3</v>
      </c>
      <c r="C422" s="4">
        <f>MONTH(G422)</f>
        <v>8</v>
      </c>
      <c r="D422" s="4">
        <f>YEAR(G422)</f>
        <v>2023</v>
      </c>
      <c r="E422" s="4" t="str">
        <f>TEXT(G422,"dddd")</f>
        <v>Thursday</v>
      </c>
      <c r="F422" s="4" t="str">
        <f>TEXT(G422,"mmm")</f>
        <v>Aug</v>
      </c>
      <c r="G422" s="3">
        <v>45141</v>
      </c>
      <c r="H422" s="4" t="s">
        <v>455</v>
      </c>
      <c r="I422" s="4" t="s">
        <v>24</v>
      </c>
      <c r="J422" s="4" t="str" cm="1">
        <f t="array" ref="J422">_xlfn.IFS(K422&lt;30,"Young Adult",K422&lt;=50,"Adult",K422&gt;50,"Senior")</f>
        <v>Adult</v>
      </c>
      <c r="K422" s="4">
        <v>42</v>
      </c>
      <c r="L422" s="4" t="s">
        <v>9</v>
      </c>
      <c r="M422" s="4">
        <v>1</v>
      </c>
      <c r="N422" s="19">
        <v>25</v>
      </c>
      <c r="O422" s="15">
        <f>M422 * N422</f>
        <v>25</v>
      </c>
      <c r="P422" s="15">
        <f>O422*$S$3</f>
        <v>0.375</v>
      </c>
      <c r="Q422" s="15">
        <f>O422*$S$4</f>
        <v>0.5</v>
      </c>
    </row>
    <row r="423" spans="1:17">
      <c r="A423" s="2">
        <v>27</v>
      </c>
      <c r="B423" s="4">
        <f>DAY(G423)</f>
        <v>3</v>
      </c>
      <c r="C423" s="4">
        <f>MONTH(G423)</f>
        <v>8</v>
      </c>
      <c r="D423" s="4">
        <f>YEAR(G423)</f>
        <v>2023</v>
      </c>
      <c r="E423" s="4" t="str">
        <f>TEXT(G423,"dddd")</f>
        <v>Thursday</v>
      </c>
      <c r="F423" s="4" t="str">
        <f>TEXT(G423,"mmm")</f>
        <v>Aug</v>
      </c>
      <c r="G423" s="3">
        <v>45141</v>
      </c>
      <c r="H423" s="4" t="s">
        <v>456</v>
      </c>
      <c r="I423" s="4" t="s">
        <v>29</v>
      </c>
      <c r="J423" s="4" t="str" cm="1">
        <f t="array" ref="J423">_xlfn.IFS(K423&lt;30,"Young Adult",K423&lt;=50,"Adult",K423&gt;50,"Senior")</f>
        <v>Adult</v>
      </c>
      <c r="K423" s="4">
        <v>38</v>
      </c>
      <c r="L423" s="4" t="s">
        <v>7</v>
      </c>
      <c r="M423" s="4">
        <v>2</v>
      </c>
      <c r="N423" s="19">
        <v>25</v>
      </c>
      <c r="O423" s="15">
        <f>M423 * N423</f>
        <v>50</v>
      </c>
      <c r="P423" s="15">
        <f>O423*$S$3</f>
        <v>0.75</v>
      </c>
      <c r="Q423" s="15">
        <f>O423*$S$4</f>
        <v>1</v>
      </c>
    </row>
    <row r="424" spans="1:17">
      <c r="A424" s="2">
        <v>949</v>
      </c>
      <c r="B424" s="4">
        <f>DAY(G424)</f>
        <v>2</v>
      </c>
      <c r="C424" s="4">
        <f>MONTH(G424)</f>
        <v>8</v>
      </c>
      <c r="D424" s="4">
        <f>YEAR(G424)</f>
        <v>2023</v>
      </c>
      <c r="E424" s="4" t="str">
        <f>TEXT(G424,"dddd")</f>
        <v>Wednesday</v>
      </c>
      <c r="F424" s="4" t="str">
        <f>TEXT(G424,"mmm")</f>
        <v>Aug</v>
      </c>
      <c r="G424" s="3">
        <v>45140</v>
      </c>
      <c r="H424" s="4" t="s">
        <v>457</v>
      </c>
      <c r="I424" s="4" t="s">
        <v>29</v>
      </c>
      <c r="J424" s="4" t="str" cm="1">
        <f t="array" ref="J424">_xlfn.IFS(K424&lt;30,"Young Adult",K424&lt;=50,"Adult",K424&gt;50,"Senior")</f>
        <v>Adult</v>
      </c>
      <c r="K424" s="4">
        <v>41</v>
      </c>
      <c r="L424" s="4" t="s">
        <v>9</v>
      </c>
      <c r="M424" s="4">
        <v>2</v>
      </c>
      <c r="N424" s="19">
        <v>25</v>
      </c>
      <c r="O424" s="15">
        <f>M424 * N424</f>
        <v>50</v>
      </c>
      <c r="P424" s="15">
        <f>O424*$S$3</f>
        <v>0.75</v>
      </c>
      <c r="Q424" s="15">
        <f>O424*$S$4</f>
        <v>1</v>
      </c>
    </row>
    <row r="425" spans="1:17">
      <c r="A425" s="2">
        <v>598</v>
      </c>
      <c r="B425" s="4">
        <f>DAY(G425)</f>
        <v>1</v>
      </c>
      <c r="C425" s="4">
        <f>MONTH(G425)</f>
        <v>8</v>
      </c>
      <c r="D425" s="4">
        <f>YEAR(G425)</f>
        <v>2023</v>
      </c>
      <c r="E425" s="4" t="str">
        <f>TEXT(G425,"dddd")</f>
        <v>Tuesday</v>
      </c>
      <c r="F425" s="4" t="str">
        <f>TEXT(G425,"mmm")</f>
        <v>Aug</v>
      </c>
      <c r="G425" s="3">
        <v>45139</v>
      </c>
      <c r="H425" s="4" t="s">
        <v>458</v>
      </c>
      <c r="I425" s="4" t="s">
        <v>24</v>
      </c>
      <c r="J425" s="4" t="str" cm="1">
        <f t="array" ref="J425">_xlfn.IFS(K425&lt;30,"Young Adult",K425&lt;=50,"Adult",K425&gt;50,"Senior")</f>
        <v>Adult</v>
      </c>
      <c r="K425" s="4">
        <v>37</v>
      </c>
      <c r="L425" s="4" t="s">
        <v>7</v>
      </c>
      <c r="M425" s="4">
        <v>4</v>
      </c>
      <c r="N425" s="19">
        <v>30</v>
      </c>
      <c r="O425" s="15">
        <f>M425 * N425</f>
        <v>120</v>
      </c>
      <c r="P425" s="15">
        <f>O425*$S$3</f>
        <v>1.7999999999999998</v>
      </c>
      <c r="Q425" s="15">
        <f>O425*$S$4</f>
        <v>2.4</v>
      </c>
    </row>
    <row r="426" spans="1:17">
      <c r="A426" s="2">
        <v>672</v>
      </c>
      <c r="B426" s="4">
        <f>DAY(G426)</f>
        <v>1</v>
      </c>
      <c r="C426" s="4">
        <f>MONTH(G426)</f>
        <v>8</v>
      </c>
      <c r="D426" s="4">
        <f>YEAR(G426)</f>
        <v>2023</v>
      </c>
      <c r="E426" s="4" t="str">
        <f>TEXT(G426,"dddd")</f>
        <v>Tuesday</v>
      </c>
      <c r="F426" s="4" t="str">
        <f>TEXT(G426,"mmm")</f>
        <v>Aug</v>
      </c>
      <c r="G426" s="3">
        <v>45139</v>
      </c>
      <c r="H426" s="4" t="s">
        <v>459</v>
      </c>
      <c r="I426" s="4" t="s">
        <v>29</v>
      </c>
      <c r="J426" s="4" t="str" cm="1">
        <f t="array" ref="J426">_xlfn.IFS(K426&lt;30,"Young Adult",K426&lt;=50,"Adult",K426&gt;50,"Senior")</f>
        <v>Adult</v>
      </c>
      <c r="K426" s="4">
        <v>34</v>
      </c>
      <c r="L426" s="4" t="s">
        <v>7</v>
      </c>
      <c r="M426" s="4">
        <v>2</v>
      </c>
      <c r="N426" s="19">
        <v>50</v>
      </c>
      <c r="O426" s="15">
        <f>M426 * N426</f>
        <v>100</v>
      </c>
      <c r="P426" s="15">
        <f>O426*$S$3</f>
        <v>1.5</v>
      </c>
      <c r="Q426" s="15">
        <f>O426*$S$4</f>
        <v>2</v>
      </c>
    </row>
    <row r="427" spans="1:17">
      <c r="A427" s="2">
        <v>667</v>
      </c>
      <c r="B427" s="4">
        <f>DAY(G427)</f>
        <v>1</v>
      </c>
      <c r="C427" s="4">
        <f>MONTH(G427)</f>
        <v>8</v>
      </c>
      <c r="D427" s="4">
        <f>YEAR(G427)</f>
        <v>2023</v>
      </c>
      <c r="E427" s="4" t="str">
        <f>TEXT(G427,"dddd")</f>
        <v>Tuesday</v>
      </c>
      <c r="F427" s="4" t="str">
        <f>TEXT(G427,"mmm")</f>
        <v>Aug</v>
      </c>
      <c r="G427" s="3">
        <v>45139</v>
      </c>
      <c r="H427" s="4" t="s">
        <v>460</v>
      </c>
      <c r="I427" s="4" t="s">
        <v>29</v>
      </c>
      <c r="J427" s="4" t="str" cm="1">
        <f t="array" ref="J427">_xlfn.IFS(K427&lt;30,"Young Adult",K427&lt;=50,"Adult",K427&gt;50,"Senior")</f>
        <v>Young Adult</v>
      </c>
      <c r="K427" s="4">
        <v>29</v>
      </c>
      <c r="L427" s="4" t="s">
        <v>9</v>
      </c>
      <c r="M427" s="4">
        <v>1</v>
      </c>
      <c r="N427" s="19">
        <v>500</v>
      </c>
      <c r="O427" s="15">
        <f>M427 * N427</f>
        <v>500</v>
      </c>
      <c r="P427" s="15">
        <f>O427*$S$3</f>
        <v>7.5</v>
      </c>
      <c r="Q427" s="15">
        <f>O427*$S$4</f>
        <v>10</v>
      </c>
    </row>
    <row r="428" spans="1:17">
      <c r="A428" s="2">
        <v>463</v>
      </c>
      <c r="B428" s="4">
        <f>DAY(G428)</f>
        <v>31</v>
      </c>
      <c r="C428" s="4">
        <f>MONTH(G428)</f>
        <v>7</v>
      </c>
      <c r="D428" s="4">
        <f>YEAR(G428)</f>
        <v>2023</v>
      </c>
      <c r="E428" s="4" t="str">
        <f>TEXT(G428,"dddd")</f>
        <v>Monday</v>
      </c>
      <c r="F428" s="4" t="str">
        <f>TEXT(G428,"mmm")</f>
        <v>Jul</v>
      </c>
      <c r="G428" s="3">
        <v>45138</v>
      </c>
      <c r="H428" s="4" t="s">
        <v>461</v>
      </c>
      <c r="I428" s="4" t="s">
        <v>29</v>
      </c>
      <c r="J428" s="4" t="str" cm="1">
        <f t="array" ref="J428">_xlfn.IFS(K428&lt;30,"Young Adult",K428&lt;=50,"Adult",K428&gt;50,"Senior")</f>
        <v>Senior</v>
      </c>
      <c r="K428" s="4">
        <v>54</v>
      </c>
      <c r="L428" s="4" t="s">
        <v>7</v>
      </c>
      <c r="M428" s="4">
        <v>3</v>
      </c>
      <c r="N428" s="19">
        <v>500</v>
      </c>
      <c r="O428" s="15">
        <f>M428 * N428</f>
        <v>1500</v>
      </c>
      <c r="P428" s="15">
        <f>O428*$S$3</f>
        <v>22.5</v>
      </c>
      <c r="Q428" s="15">
        <f>O428*$S$4</f>
        <v>30</v>
      </c>
    </row>
    <row r="429" spans="1:17">
      <c r="A429" s="2">
        <v>467</v>
      </c>
      <c r="B429" s="4">
        <f>DAY(G429)</f>
        <v>30</v>
      </c>
      <c r="C429" s="4">
        <f>MONTH(G429)</f>
        <v>7</v>
      </c>
      <c r="D429" s="4">
        <f>YEAR(G429)</f>
        <v>2023</v>
      </c>
      <c r="E429" s="4" t="str">
        <f>TEXT(G429,"dddd")</f>
        <v>Sunday</v>
      </c>
      <c r="F429" s="4" t="str">
        <f>TEXT(G429,"mmm")</f>
        <v>Jul</v>
      </c>
      <c r="G429" s="3">
        <v>45137</v>
      </c>
      <c r="H429" s="4" t="s">
        <v>462</v>
      </c>
      <c r="I429" s="4" t="s">
        <v>29</v>
      </c>
      <c r="J429" s="4" t="str" cm="1">
        <f t="array" ref="J429">_xlfn.IFS(K429&lt;30,"Young Adult",K429&lt;=50,"Adult",K429&gt;50,"Senior")</f>
        <v>Senior</v>
      </c>
      <c r="K429" s="4">
        <v>53</v>
      </c>
      <c r="L429" s="4" t="s">
        <v>9</v>
      </c>
      <c r="M429" s="4">
        <v>3</v>
      </c>
      <c r="N429" s="19">
        <v>50</v>
      </c>
      <c r="O429" s="15">
        <f>M429 * N429</f>
        <v>150</v>
      </c>
      <c r="P429" s="15">
        <f>O429*$S$3</f>
        <v>2.25</v>
      </c>
      <c r="Q429" s="15">
        <f>O429*$S$4</f>
        <v>3</v>
      </c>
    </row>
    <row r="430" spans="1:17">
      <c r="A430" s="2">
        <v>262</v>
      </c>
      <c r="B430" s="4">
        <f>DAY(G430)</f>
        <v>30</v>
      </c>
      <c r="C430" s="4">
        <f>MONTH(G430)</f>
        <v>7</v>
      </c>
      <c r="D430" s="4">
        <f>YEAR(G430)</f>
        <v>2023</v>
      </c>
      <c r="E430" s="4" t="str">
        <f>TEXT(G430,"dddd")</f>
        <v>Sunday</v>
      </c>
      <c r="F430" s="4" t="str">
        <f>TEXT(G430,"mmm")</f>
        <v>Jul</v>
      </c>
      <c r="G430" s="3">
        <v>45137</v>
      </c>
      <c r="H430" s="4" t="s">
        <v>463</v>
      </c>
      <c r="I430" s="4" t="s">
        <v>29</v>
      </c>
      <c r="J430" s="4" t="str" cm="1">
        <f t="array" ref="J430">_xlfn.IFS(K430&lt;30,"Young Adult",K430&lt;=50,"Adult",K430&gt;50,"Senior")</f>
        <v>Adult</v>
      </c>
      <c r="K430" s="4">
        <v>32</v>
      </c>
      <c r="L430" s="4" t="s">
        <v>7</v>
      </c>
      <c r="M430" s="4">
        <v>4</v>
      </c>
      <c r="N430" s="19">
        <v>30</v>
      </c>
      <c r="O430" s="15">
        <f>M430 * N430</f>
        <v>120</v>
      </c>
      <c r="P430" s="15">
        <f>O430*$S$3</f>
        <v>1.7999999999999998</v>
      </c>
      <c r="Q430" s="15">
        <f>O430*$S$4</f>
        <v>2.4</v>
      </c>
    </row>
    <row r="431" spans="1:17">
      <c r="A431" s="2">
        <v>541</v>
      </c>
      <c r="B431" s="4">
        <f>DAY(G431)</f>
        <v>29</v>
      </c>
      <c r="C431" s="4">
        <f>MONTH(G431)</f>
        <v>7</v>
      </c>
      <c r="D431" s="4">
        <f>YEAR(G431)</f>
        <v>2023</v>
      </c>
      <c r="E431" s="4" t="str">
        <f>TEXT(G431,"dddd")</f>
        <v>Saturday</v>
      </c>
      <c r="F431" s="4" t="str">
        <f>TEXT(G431,"mmm")</f>
        <v>Jul</v>
      </c>
      <c r="G431" s="3">
        <v>45136</v>
      </c>
      <c r="H431" s="4" t="s">
        <v>464</v>
      </c>
      <c r="I431" s="4" t="s">
        <v>24</v>
      </c>
      <c r="J431" s="4" t="str" cm="1">
        <f t="array" ref="J431">_xlfn.IFS(K431&lt;30,"Young Adult",K431&lt;=50,"Adult",K431&gt;50,"Senior")</f>
        <v>Senior</v>
      </c>
      <c r="K431" s="4">
        <v>56</v>
      </c>
      <c r="L431" s="4" t="s">
        <v>7</v>
      </c>
      <c r="M431" s="4">
        <v>1</v>
      </c>
      <c r="N431" s="19">
        <v>500</v>
      </c>
      <c r="O431" s="15">
        <f>M431 * N431</f>
        <v>500</v>
      </c>
      <c r="P431" s="15">
        <f>O431*$S$3</f>
        <v>7.5</v>
      </c>
      <c r="Q431" s="15">
        <f>O431*$S$4</f>
        <v>10</v>
      </c>
    </row>
    <row r="432" spans="1:17">
      <c r="A432" s="2">
        <v>980</v>
      </c>
      <c r="B432" s="4">
        <f>DAY(G432)</f>
        <v>29</v>
      </c>
      <c r="C432" s="4">
        <f>MONTH(G432)</f>
        <v>7</v>
      </c>
      <c r="D432" s="4">
        <f>YEAR(G432)</f>
        <v>2023</v>
      </c>
      <c r="E432" s="4" t="str">
        <f>TEXT(G432,"dddd")</f>
        <v>Saturday</v>
      </c>
      <c r="F432" s="4" t="str">
        <f>TEXT(G432,"mmm")</f>
        <v>Jul</v>
      </c>
      <c r="G432" s="3">
        <v>45136</v>
      </c>
      <c r="H432" s="4" t="s">
        <v>465</v>
      </c>
      <c r="I432" s="4" t="s">
        <v>29</v>
      </c>
      <c r="J432" s="4" t="str" cm="1">
        <f t="array" ref="J432">_xlfn.IFS(K432&lt;30,"Young Adult",K432&lt;=50,"Adult",K432&gt;50,"Senior")</f>
        <v>Adult</v>
      </c>
      <c r="K432" s="4">
        <v>31</v>
      </c>
      <c r="L432" s="4" t="s">
        <v>9</v>
      </c>
      <c r="M432" s="4">
        <v>3</v>
      </c>
      <c r="N432" s="19">
        <v>25</v>
      </c>
      <c r="O432" s="15">
        <f>M432 * N432</f>
        <v>75</v>
      </c>
      <c r="P432" s="15">
        <f>O432*$S$3</f>
        <v>1.125</v>
      </c>
      <c r="Q432" s="15">
        <f>O432*$S$4</f>
        <v>1.5</v>
      </c>
    </row>
    <row r="433" spans="1:17">
      <c r="A433" s="2">
        <v>668</v>
      </c>
      <c r="B433" s="4">
        <f>DAY(G433)</f>
        <v>28</v>
      </c>
      <c r="C433" s="4">
        <f>MONTH(G433)</f>
        <v>7</v>
      </c>
      <c r="D433" s="4">
        <f>YEAR(G433)</f>
        <v>2023</v>
      </c>
      <c r="E433" s="4" t="str">
        <f>TEXT(G433,"dddd")</f>
        <v>Friday</v>
      </c>
      <c r="F433" s="4" t="str">
        <f>TEXT(G433,"mmm")</f>
        <v>Jul</v>
      </c>
      <c r="G433" s="3">
        <v>45135</v>
      </c>
      <c r="H433" s="4" t="s">
        <v>466</v>
      </c>
      <c r="I433" s="4" t="s">
        <v>29</v>
      </c>
      <c r="J433" s="4" t="str" cm="1">
        <f t="array" ref="J433">_xlfn.IFS(K433&lt;30,"Young Adult",K433&lt;=50,"Adult",K433&gt;50,"Senior")</f>
        <v>Senior</v>
      </c>
      <c r="K433" s="4">
        <v>62</v>
      </c>
      <c r="L433" s="4" t="s">
        <v>9</v>
      </c>
      <c r="M433" s="4">
        <v>3</v>
      </c>
      <c r="N433" s="19">
        <v>50</v>
      </c>
      <c r="O433" s="15">
        <f>M433 * N433</f>
        <v>150</v>
      </c>
      <c r="P433" s="15">
        <f>O433*$S$3</f>
        <v>2.25</v>
      </c>
      <c r="Q433" s="15">
        <f>O433*$S$4</f>
        <v>3</v>
      </c>
    </row>
    <row r="434" spans="1:17">
      <c r="A434" s="2">
        <v>457</v>
      </c>
      <c r="B434" s="4">
        <f>DAY(G434)</f>
        <v>28</v>
      </c>
      <c r="C434" s="4">
        <f>MONTH(G434)</f>
        <v>7</v>
      </c>
      <c r="D434" s="4">
        <f>YEAR(G434)</f>
        <v>2023</v>
      </c>
      <c r="E434" s="4" t="str">
        <f>TEXT(G434,"dddd")</f>
        <v>Friday</v>
      </c>
      <c r="F434" s="4" t="str">
        <f>TEXT(G434,"mmm")</f>
        <v>Jul</v>
      </c>
      <c r="G434" s="3">
        <v>45135</v>
      </c>
      <c r="H434" s="4" t="s">
        <v>467</v>
      </c>
      <c r="I434" s="4" t="s">
        <v>29</v>
      </c>
      <c r="J434" s="4" t="str" cm="1">
        <f t="array" ref="J434">_xlfn.IFS(K434&lt;30,"Young Adult",K434&lt;=50,"Adult",K434&gt;50,"Senior")</f>
        <v>Senior</v>
      </c>
      <c r="K434" s="4">
        <v>58</v>
      </c>
      <c r="L434" s="4" t="s">
        <v>7</v>
      </c>
      <c r="M434" s="4">
        <v>3</v>
      </c>
      <c r="N434" s="19">
        <v>300</v>
      </c>
      <c r="O434" s="15">
        <f>M434 * N434</f>
        <v>900</v>
      </c>
      <c r="P434" s="15">
        <f>O434*$S$3</f>
        <v>13.5</v>
      </c>
      <c r="Q434" s="15">
        <f>O434*$S$4</f>
        <v>18</v>
      </c>
    </row>
    <row r="435" spans="1:17">
      <c r="A435" s="2">
        <v>254</v>
      </c>
      <c r="B435" s="4">
        <f>DAY(G435)</f>
        <v>28</v>
      </c>
      <c r="C435" s="4">
        <f>MONTH(G435)</f>
        <v>7</v>
      </c>
      <c r="D435" s="4">
        <f>YEAR(G435)</f>
        <v>2023</v>
      </c>
      <c r="E435" s="4" t="str">
        <f>TEXT(G435,"dddd")</f>
        <v>Friday</v>
      </c>
      <c r="F435" s="4" t="str">
        <f>TEXT(G435,"mmm")</f>
        <v>Jul</v>
      </c>
      <c r="G435" s="3">
        <v>45135</v>
      </c>
      <c r="H435" s="4" t="s">
        <v>468</v>
      </c>
      <c r="I435" s="4" t="s">
        <v>24</v>
      </c>
      <c r="J435" s="4" t="str" cm="1">
        <f t="array" ref="J435">_xlfn.IFS(K435&lt;30,"Young Adult",K435&lt;=50,"Adult",K435&gt;50,"Senior")</f>
        <v>Adult</v>
      </c>
      <c r="K435" s="4">
        <v>41</v>
      </c>
      <c r="L435" s="4" t="s">
        <v>9</v>
      </c>
      <c r="M435" s="4">
        <v>1</v>
      </c>
      <c r="N435" s="19">
        <v>500</v>
      </c>
      <c r="O435" s="15">
        <f>M435 * N435</f>
        <v>500</v>
      </c>
      <c r="P435" s="15">
        <f>O435*$S$3</f>
        <v>7.5</v>
      </c>
      <c r="Q435" s="15">
        <f>O435*$S$4</f>
        <v>10</v>
      </c>
    </row>
    <row r="436" spans="1:17">
      <c r="A436" s="2">
        <v>295</v>
      </c>
      <c r="B436" s="4">
        <f>DAY(G436)</f>
        <v>28</v>
      </c>
      <c r="C436" s="4">
        <f>MONTH(G436)</f>
        <v>7</v>
      </c>
      <c r="D436" s="4">
        <f>YEAR(G436)</f>
        <v>2023</v>
      </c>
      <c r="E436" s="4" t="str">
        <f>TEXT(G436,"dddd")</f>
        <v>Friday</v>
      </c>
      <c r="F436" s="4" t="str">
        <f>TEXT(G436,"mmm")</f>
        <v>Jul</v>
      </c>
      <c r="G436" s="3">
        <v>45135</v>
      </c>
      <c r="H436" s="4" t="s">
        <v>469</v>
      </c>
      <c r="I436" s="4" t="s">
        <v>29</v>
      </c>
      <c r="J436" s="4" t="str" cm="1">
        <f t="array" ref="J436">_xlfn.IFS(K436&lt;30,"Young Adult",K436&lt;=50,"Adult",K436&gt;50,"Senior")</f>
        <v>Young Adult</v>
      </c>
      <c r="K436" s="4">
        <v>27</v>
      </c>
      <c r="L436" s="4" t="s">
        <v>7</v>
      </c>
      <c r="M436" s="4">
        <v>3</v>
      </c>
      <c r="N436" s="19">
        <v>300</v>
      </c>
      <c r="O436" s="15">
        <f>M436 * N436</f>
        <v>900</v>
      </c>
      <c r="P436" s="15">
        <f>O436*$S$3</f>
        <v>13.5</v>
      </c>
      <c r="Q436" s="15">
        <f>O436*$S$4</f>
        <v>18</v>
      </c>
    </row>
    <row r="437" spans="1:17">
      <c r="A437" s="2">
        <v>850</v>
      </c>
      <c r="B437" s="4">
        <f>DAY(G437)</f>
        <v>28</v>
      </c>
      <c r="C437" s="4">
        <f>MONTH(G437)</f>
        <v>7</v>
      </c>
      <c r="D437" s="4">
        <f>YEAR(G437)</f>
        <v>2023</v>
      </c>
      <c r="E437" s="4" t="str">
        <f>TEXT(G437,"dddd")</f>
        <v>Friday</v>
      </c>
      <c r="F437" s="4" t="str">
        <f>TEXT(G437,"mmm")</f>
        <v>Jul</v>
      </c>
      <c r="G437" s="3">
        <v>45135</v>
      </c>
      <c r="H437" s="4" t="s">
        <v>470</v>
      </c>
      <c r="I437" s="4" t="s">
        <v>29</v>
      </c>
      <c r="J437" s="4" t="str" cm="1">
        <f t="array" ref="J437">_xlfn.IFS(K437&lt;30,"Young Adult",K437&lt;=50,"Adult",K437&gt;50,"Senior")</f>
        <v>Young Adult</v>
      </c>
      <c r="K437" s="4">
        <v>26</v>
      </c>
      <c r="L437" s="4" t="s">
        <v>7</v>
      </c>
      <c r="M437" s="4">
        <v>2</v>
      </c>
      <c r="N437" s="19">
        <v>500</v>
      </c>
      <c r="O437" s="15">
        <f>M437 * N437</f>
        <v>1000</v>
      </c>
      <c r="P437" s="15">
        <f>O437*$S$3</f>
        <v>15</v>
      </c>
      <c r="Q437" s="15">
        <f>O437*$S$4</f>
        <v>20</v>
      </c>
    </row>
    <row r="438" spans="1:17">
      <c r="A438" s="2">
        <v>702</v>
      </c>
      <c r="B438" s="4">
        <f>DAY(G438)</f>
        <v>27</v>
      </c>
      <c r="C438" s="4">
        <f>MONTH(G438)</f>
        <v>7</v>
      </c>
      <c r="D438" s="4">
        <f>YEAR(G438)</f>
        <v>2023</v>
      </c>
      <c r="E438" s="4" t="str">
        <f>TEXT(G438,"dddd")</f>
        <v>Thursday</v>
      </c>
      <c r="F438" s="4" t="str">
        <f>TEXT(G438,"mmm")</f>
        <v>Jul</v>
      </c>
      <c r="G438" s="3">
        <v>45134</v>
      </c>
      <c r="H438" s="4" t="s">
        <v>471</v>
      </c>
      <c r="I438" s="4" t="s">
        <v>29</v>
      </c>
      <c r="J438" s="4" t="str" cm="1">
        <f t="array" ref="J438">_xlfn.IFS(K438&lt;30,"Young Adult",K438&lt;=50,"Adult",K438&gt;50,"Senior")</f>
        <v>Senior</v>
      </c>
      <c r="K438" s="4">
        <v>60</v>
      </c>
      <c r="L438" s="4" t="s">
        <v>8</v>
      </c>
      <c r="M438" s="4">
        <v>2</v>
      </c>
      <c r="N438" s="19">
        <v>300</v>
      </c>
      <c r="O438" s="15">
        <f>M438 * N438</f>
        <v>600</v>
      </c>
      <c r="P438" s="15">
        <f>O438*$S$3</f>
        <v>9</v>
      </c>
      <c r="Q438" s="15">
        <f>O438*$S$4</f>
        <v>12</v>
      </c>
    </row>
    <row r="439" spans="1:17">
      <c r="A439" s="2">
        <v>864</v>
      </c>
      <c r="B439" s="4">
        <f>DAY(G439)</f>
        <v>27</v>
      </c>
      <c r="C439" s="4">
        <f>MONTH(G439)</f>
        <v>7</v>
      </c>
      <c r="D439" s="4">
        <f>YEAR(G439)</f>
        <v>2023</v>
      </c>
      <c r="E439" s="4" t="str">
        <f>TEXT(G439,"dddd")</f>
        <v>Thursday</v>
      </c>
      <c r="F439" s="4" t="str">
        <f>TEXT(G439,"mmm")</f>
        <v>Jul</v>
      </c>
      <c r="G439" s="3">
        <v>45134</v>
      </c>
      <c r="H439" s="4" t="s">
        <v>472</v>
      </c>
      <c r="I439" s="4" t="s">
        <v>29</v>
      </c>
      <c r="J439" s="4" t="str" cm="1">
        <f t="array" ref="J439">_xlfn.IFS(K439&lt;30,"Young Adult",K439&lt;=50,"Adult",K439&gt;50,"Senior")</f>
        <v>Senior</v>
      </c>
      <c r="K439" s="4">
        <v>51</v>
      </c>
      <c r="L439" s="4" t="s">
        <v>9</v>
      </c>
      <c r="M439" s="4">
        <v>1</v>
      </c>
      <c r="N439" s="19">
        <v>500</v>
      </c>
      <c r="O439" s="15">
        <f>M439 * N439</f>
        <v>500</v>
      </c>
      <c r="P439" s="15">
        <f>O439*$S$3</f>
        <v>7.5</v>
      </c>
      <c r="Q439" s="15">
        <f>O439*$S$4</f>
        <v>10</v>
      </c>
    </row>
    <row r="440" spans="1:17">
      <c r="A440" s="2">
        <v>557</v>
      </c>
      <c r="B440" s="4">
        <f>DAY(G440)</f>
        <v>27</v>
      </c>
      <c r="C440" s="4">
        <f>MONTH(G440)</f>
        <v>7</v>
      </c>
      <c r="D440" s="4">
        <f>YEAR(G440)</f>
        <v>2023</v>
      </c>
      <c r="E440" s="4" t="str">
        <f>TEXT(G440,"dddd")</f>
        <v>Thursday</v>
      </c>
      <c r="F440" s="4" t="str">
        <f>TEXT(G440,"mmm")</f>
        <v>Jul</v>
      </c>
      <c r="G440" s="3">
        <v>45134</v>
      </c>
      <c r="H440" s="4" t="s">
        <v>473</v>
      </c>
      <c r="I440" s="4" t="s">
        <v>29</v>
      </c>
      <c r="J440" s="4" t="str" cm="1">
        <f t="array" ref="J440">_xlfn.IFS(K440&lt;30,"Young Adult",K440&lt;=50,"Adult",K440&gt;50,"Senior")</f>
        <v>Young Adult</v>
      </c>
      <c r="K440" s="4">
        <v>20</v>
      </c>
      <c r="L440" s="4" t="s">
        <v>7</v>
      </c>
      <c r="M440" s="4">
        <v>3</v>
      </c>
      <c r="N440" s="19">
        <v>30</v>
      </c>
      <c r="O440" s="15">
        <f>M440 * N440</f>
        <v>90</v>
      </c>
      <c r="P440" s="15">
        <f>O440*$S$3</f>
        <v>1.3499999999999999</v>
      </c>
      <c r="Q440" s="15">
        <f>O440*$S$4</f>
        <v>1.8</v>
      </c>
    </row>
    <row r="441" spans="1:17">
      <c r="A441" s="2">
        <v>338</v>
      </c>
      <c r="B441" s="4">
        <f>DAY(G441)</f>
        <v>26</v>
      </c>
      <c r="C441" s="4">
        <f>MONTH(G441)</f>
        <v>7</v>
      </c>
      <c r="D441" s="4">
        <f>YEAR(G441)</f>
        <v>2023</v>
      </c>
      <c r="E441" s="4" t="str">
        <f>TEXT(G441,"dddd")</f>
        <v>Wednesday</v>
      </c>
      <c r="F441" s="4" t="str">
        <f>TEXT(G441,"mmm")</f>
        <v>Jul</v>
      </c>
      <c r="G441" s="3">
        <v>45133</v>
      </c>
      <c r="H441" s="4" t="s">
        <v>474</v>
      </c>
      <c r="I441" s="4" t="s">
        <v>24</v>
      </c>
      <c r="J441" s="4" t="str" cm="1">
        <f t="array" ref="J441">_xlfn.IFS(K441&lt;30,"Young Adult",K441&lt;=50,"Adult",K441&gt;50,"Senior")</f>
        <v>Senior</v>
      </c>
      <c r="K441" s="4">
        <v>54</v>
      </c>
      <c r="L441" s="4" t="s">
        <v>7</v>
      </c>
      <c r="M441" s="4">
        <v>2</v>
      </c>
      <c r="N441" s="19">
        <v>50</v>
      </c>
      <c r="O441" s="15">
        <f>M441 * N441</f>
        <v>100</v>
      </c>
      <c r="P441" s="15">
        <f>O441*$S$3</f>
        <v>1.5</v>
      </c>
      <c r="Q441" s="15">
        <f>O441*$S$4</f>
        <v>2</v>
      </c>
    </row>
    <row r="442" spans="1:17">
      <c r="A442" s="2">
        <v>543</v>
      </c>
      <c r="B442" s="4">
        <f>DAY(G442)</f>
        <v>26</v>
      </c>
      <c r="C442" s="4">
        <f>MONTH(G442)</f>
        <v>7</v>
      </c>
      <c r="D442" s="4">
        <f>YEAR(G442)</f>
        <v>2023</v>
      </c>
      <c r="E442" s="4" t="str">
        <f>TEXT(G442,"dddd")</f>
        <v>Wednesday</v>
      </c>
      <c r="F442" s="4" t="str">
        <f>TEXT(G442,"mmm")</f>
        <v>Jul</v>
      </c>
      <c r="G442" s="3">
        <v>45133</v>
      </c>
      <c r="H442" s="4" t="s">
        <v>475</v>
      </c>
      <c r="I442" s="4" t="s">
        <v>24</v>
      </c>
      <c r="J442" s="4" t="str" cm="1">
        <f t="array" ref="J442">_xlfn.IFS(K442&lt;30,"Young Adult",K442&lt;=50,"Adult",K442&gt;50,"Senior")</f>
        <v>Adult</v>
      </c>
      <c r="K442" s="4">
        <v>49</v>
      </c>
      <c r="L442" s="4" t="s">
        <v>7</v>
      </c>
      <c r="M442" s="4">
        <v>2</v>
      </c>
      <c r="N442" s="19">
        <v>300</v>
      </c>
      <c r="O442" s="15">
        <f>M442 * N442</f>
        <v>600</v>
      </c>
      <c r="P442" s="15">
        <f>O442*$S$3</f>
        <v>9</v>
      </c>
      <c r="Q442" s="15">
        <f>O442*$S$4</f>
        <v>12</v>
      </c>
    </row>
    <row r="443" spans="1:17">
      <c r="A443" s="2">
        <v>270</v>
      </c>
      <c r="B443" s="4">
        <f>DAY(G443)</f>
        <v>26</v>
      </c>
      <c r="C443" s="4">
        <f>MONTH(G443)</f>
        <v>7</v>
      </c>
      <c r="D443" s="4">
        <f>YEAR(G443)</f>
        <v>2023</v>
      </c>
      <c r="E443" s="4" t="str">
        <f>TEXT(G443,"dddd")</f>
        <v>Wednesday</v>
      </c>
      <c r="F443" s="4" t="str">
        <f>TEXT(G443,"mmm")</f>
        <v>Jul</v>
      </c>
      <c r="G443" s="3">
        <v>45133</v>
      </c>
      <c r="H443" s="4" t="s">
        <v>476</v>
      </c>
      <c r="I443" s="4" t="s">
        <v>24</v>
      </c>
      <c r="J443" s="4" t="str" cm="1">
        <f t="array" ref="J443">_xlfn.IFS(K443&lt;30,"Young Adult",K443&lt;=50,"Adult",K443&gt;50,"Senior")</f>
        <v>Adult</v>
      </c>
      <c r="K443" s="4">
        <v>43</v>
      </c>
      <c r="L443" s="4" t="s">
        <v>9</v>
      </c>
      <c r="M443" s="4">
        <v>1</v>
      </c>
      <c r="N443" s="19">
        <v>300</v>
      </c>
      <c r="O443" s="15">
        <f>M443 * N443</f>
        <v>300</v>
      </c>
      <c r="P443" s="15">
        <f>O443*$S$3</f>
        <v>4.5</v>
      </c>
      <c r="Q443" s="15">
        <f>O443*$S$4</f>
        <v>6</v>
      </c>
    </row>
    <row r="444" spans="1:17">
      <c r="A444" s="2">
        <v>299</v>
      </c>
      <c r="B444" s="4">
        <f>DAY(G444)</f>
        <v>25</v>
      </c>
      <c r="C444" s="4">
        <f>MONTH(G444)</f>
        <v>7</v>
      </c>
      <c r="D444" s="4">
        <f>YEAR(G444)</f>
        <v>2023</v>
      </c>
      <c r="E444" s="4" t="str">
        <f>TEXT(G444,"dddd")</f>
        <v>Tuesday</v>
      </c>
      <c r="F444" s="4" t="str">
        <f>TEXT(G444,"mmm")</f>
        <v>Jul</v>
      </c>
      <c r="G444" s="3">
        <v>45132</v>
      </c>
      <c r="H444" s="4" t="s">
        <v>477</v>
      </c>
      <c r="I444" s="4" t="s">
        <v>24</v>
      </c>
      <c r="J444" s="4" t="str" cm="1">
        <f t="array" ref="J444">_xlfn.IFS(K444&lt;30,"Young Adult",K444&lt;=50,"Adult",K444&gt;50,"Senior")</f>
        <v>Senior</v>
      </c>
      <c r="K444" s="4">
        <v>61</v>
      </c>
      <c r="L444" s="4" t="s">
        <v>9</v>
      </c>
      <c r="M444" s="4">
        <v>2</v>
      </c>
      <c r="N444" s="19">
        <v>500</v>
      </c>
      <c r="O444" s="15">
        <f>M444 * N444</f>
        <v>1000</v>
      </c>
      <c r="P444" s="15">
        <f>O444*$S$3</f>
        <v>15</v>
      </c>
      <c r="Q444" s="15">
        <f>O444*$S$4</f>
        <v>20</v>
      </c>
    </row>
    <row r="445" spans="1:17">
      <c r="A445" s="2">
        <v>934</v>
      </c>
      <c r="B445" s="4">
        <f>DAY(G445)</f>
        <v>25</v>
      </c>
      <c r="C445" s="4">
        <f>MONTH(G445)</f>
        <v>7</v>
      </c>
      <c r="D445" s="4">
        <f>YEAR(G445)</f>
        <v>2023</v>
      </c>
      <c r="E445" s="4" t="str">
        <f>TEXT(G445,"dddd")</f>
        <v>Tuesday</v>
      </c>
      <c r="F445" s="4" t="str">
        <f>TEXT(G445,"mmm")</f>
        <v>Jul</v>
      </c>
      <c r="G445" s="3">
        <v>45132</v>
      </c>
      <c r="H445" s="4" t="s">
        <v>478</v>
      </c>
      <c r="I445" s="4" t="s">
        <v>24</v>
      </c>
      <c r="J445" s="4" t="str" cm="1">
        <f t="array" ref="J445">_xlfn.IFS(K445&lt;30,"Young Adult",K445&lt;=50,"Adult",K445&gt;50,"Senior")</f>
        <v>Adult</v>
      </c>
      <c r="K445" s="4">
        <v>30</v>
      </c>
      <c r="L445" s="4" t="s">
        <v>7</v>
      </c>
      <c r="M445" s="4">
        <v>1</v>
      </c>
      <c r="N445" s="19">
        <v>500</v>
      </c>
      <c r="O445" s="15">
        <f>M445 * N445</f>
        <v>500</v>
      </c>
      <c r="P445" s="15">
        <f>O445*$S$3</f>
        <v>7.5</v>
      </c>
      <c r="Q445" s="15">
        <f>O445*$S$4</f>
        <v>10</v>
      </c>
    </row>
    <row r="446" spans="1:17">
      <c r="A446" s="2">
        <v>105</v>
      </c>
      <c r="B446" s="4">
        <f>DAY(G446)</f>
        <v>25</v>
      </c>
      <c r="C446" s="4">
        <f>MONTH(G446)</f>
        <v>7</v>
      </c>
      <c r="D446" s="4">
        <f>YEAR(G446)</f>
        <v>2023</v>
      </c>
      <c r="E446" s="4" t="str">
        <f>TEXT(G446,"dddd")</f>
        <v>Tuesday</v>
      </c>
      <c r="F446" s="4" t="str">
        <f>TEXT(G446,"mmm")</f>
        <v>Jul</v>
      </c>
      <c r="G446" s="3">
        <v>45132</v>
      </c>
      <c r="H446" s="4" t="s">
        <v>479</v>
      </c>
      <c r="I446" s="4" t="s">
        <v>29</v>
      </c>
      <c r="J446" s="4" t="str" cm="1">
        <f t="array" ref="J446">_xlfn.IFS(K446&lt;30,"Young Adult",K446&lt;=50,"Adult",K446&gt;50,"Senior")</f>
        <v>Young Adult</v>
      </c>
      <c r="K446" s="4">
        <v>22</v>
      </c>
      <c r="L446" s="4" t="s">
        <v>9</v>
      </c>
      <c r="M446" s="4">
        <v>1</v>
      </c>
      <c r="N446" s="19">
        <v>500</v>
      </c>
      <c r="O446" s="15">
        <f>M446 * N446</f>
        <v>500</v>
      </c>
      <c r="P446" s="15">
        <f>O446*$S$3</f>
        <v>7.5</v>
      </c>
      <c r="Q446" s="15">
        <f>O446*$S$4</f>
        <v>10</v>
      </c>
    </row>
    <row r="447" spans="1:17">
      <c r="A447" s="2">
        <v>487</v>
      </c>
      <c r="B447" s="4">
        <f>DAY(G447)</f>
        <v>24</v>
      </c>
      <c r="C447" s="4">
        <f>MONTH(G447)</f>
        <v>7</v>
      </c>
      <c r="D447" s="4">
        <f>YEAR(G447)</f>
        <v>2023</v>
      </c>
      <c r="E447" s="4" t="str">
        <f>TEXT(G447,"dddd")</f>
        <v>Monday</v>
      </c>
      <c r="F447" s="4" t="str">
        <f>TEXT(G447,"mmm")</f>
        <v>Jul</v>
      </c>
      <c r="G447" s="3">
        <v>45131</v>
      </c>
      <c r="H447" s="4" t="s">
        <v>480</v>
      </c>
      <c r="I447" s="4" t="s">
        <v>24</v>
      </c>
      <c r="J447" s="4" t="str" cm="1">
        <f t="array" ref="J447">_xlfn.IFS(K447&lt;30,"Young Adult",K447&lt;=50,"Adult",K447&gt;50,"Senior")</f>
        <v>Adult</v>
      </c>
      <c r="K447" s="4">
        <v>44</v>
      </c>
      <c r="L447" s="4" t="s">
        <v>8</v>
      </c>
      <c r="M447" s="4">
        <v>4</v>
      </c>
      <c r="N447" s="19">
        <v>500</v>
      </c>
      <c r="O447" s="15">
        <f>M447 * N447</f>
        <v>2000</v>
      </c>
      <c r="P447" s="15">
        <f>O447*$S$3</f>
        <v>30</v>
      </c>
      <c r="Q447" s="15">
        <f>O447*$S$4</f>
        <v>40</v>
      </c>
    </row>
    <row r="448" spans="1:17">
      <c r="A448" s="2">
        <v>605</v>
      </c>
      <c r="B448" s="4">
        <f>DAY(G448)</f>
        <v>24</v>
      </c>
      <c r="C448" s="4">
        <f>MONTH(G448)</f>
        <v>7</v>
      </c>
      <c r="D448" s="4">
        <f>YEAR(G448)</f>
        <v>2023</v>
      </c>
      <c r="E448" s="4" t="str">
        <f>TEXT(G448,"dddd")</f>
        <v>Monday</v>
      </c>
      <c r="F448" s="4" t="str">
        <f>TEXT(G448,"mmm")</f>
        <v>Jul</v>
      </c>
      <c r="G448" s="3">
        <v>45131</v>
      </c>
      <c r="H448" s="4" t="s">
        <v>481</v>
      </c>
      <c r="I448" s="4" t="s">
        <v>24</v>
      </c>
      <c r="J448" s="4" t="str" cm="1">
        <f t="array" ref="J448">_xlfn.IFS(K448&lt;30,"Young Adult",K448&lt;=50,"Adult",K448&gt;50,"Senior")</f>
        <v>Adult</v>
      </c>
      <c r="K448" s="4">
        <v>37</v>
      </c>
      <c r="L448" s="4" t="s">
        <v>9</v>
      </c>
      <c r="M448" s="4">
        <v>2</v>
      </c>
      <c r="N448" s="19">
        <v>500</v>
      </c>
      <c r="O448" s="15">
        <f>M448 * N448</f>
        <v>1000</v>
      </c>
      <c r="P448" s="15">
        <f>O448*$S$3</f>
        <v>15</v>
      </c>
      <c r="Q448" s="15">
        <f>O448*$S$4</f>
        <v>20</v>
      </c>
    </row>
    <row r="449" spans="1:17">
      <c r="A449" s="2">
        <v>127</v>
      </c>
      <c r="B449" s="4">
        <f>DAY(G449)</f>
        <v>24</v>
      </c>
      <c r="C449" s="4">
        <f>MONTH(G449)</f>
        <v>7</v>
      </c>
      <c r="D449" s="4">
        <f>YEAR(G449)</f>
        <v>2023</v>
      </c>
      <c r="E449" s="4" t="str">
        <f>TEXT(G449,"dddd")</f>
        <v>Monday</v>
      </c>
      <c r="F449" s="4" t="str">
        <f>TEXT(G449,"mmm")</f>
        <v>Jul</v>
      </c>
      <c r="G449" s="3">
        <v>45131</v>
      </c>
      <c r="H449" s="4" t="s">
        <v>482</v>
      </c>
      <c r="I449" s="4" t="s">
        <v>29</v>
      </c>
      <c r="J449" s="4" t="str" cm="1">
        <f t="array" ref="J449">_xlfn.IFS(K449&lt;30,"Young Adult",K449&lt;=50,"Adult",K449&gt;50,"Senior")</f>
        <v>Adult</v>
      </c>
      <c r="K449" s="4">
        <v>33</v>
      </c>
      <c r="L449" s="4" t="s">
        <v>8</v>
      </c>
      <c r="M449" s="4">
        <v>2</v>
      </c>
      <c r="N449" s="19">
        <v>25</v>
      </c>
      <c r="O449" s="15">
        <f>M449 * N449</f>
        <v>50</v>
      </c>
      <c r="P449" s="15">
        <f>O449*$S$3</f>
        <v>0.75</v>
      </c>
      <c r="Q449" s="15">
        <f>O449*$S$4</f>
        <v>1</v>
      </c>
    </row>
    <row r="450" spans="1:17">
      <c r="A450" s="2">
        <v>213</v>
      </c>
      <c r="B450" s="4">
        <f>DAY(G450)</f>
        <v>24</v>
      </c>
      <c r="C450" s="4">
        <f>MONTH(G450)</f>
        <v>7</v>
      </c>
      <c r="D450" s="4">
        <f>YEAR(G450)</f>
        <v>2023</v>
      </c>
      <c r="E450" s="4" t="str">
        <f>TEXT(G450,"dddd")</f>
        <v>Monday</v>
      </c>
      <c r="F450" s="4" t="str">
        <f>TEXT(G450,"mmm")</f>
        <v>Jul</v>
      </c>
      <c r="G450" s="3">
        <v>45131</v>
      </c>
      <c r="H450" s="4" t="s">
        <v>483</v>
      </c>
      <c r="I450" s="4" t="s">
        <v>24</v>
      </c>
      <c r="J450" s="4" t="str" cm="1">
        <f t="array" ref="J450">_xlfn.IFS(K450&lt;30,"Young Adult",K450&lt;=50,"Adult",K450&gt;50,"Senior")</f>
        <v>Young Adult</v>
      </c>
      <c r="K450" s="4">
        <v>27</v>
      </c>
      <c r="L450" s="4" t="s">
        <v>7</v>
      </c>
      <c r="M450" s="4">
        <v>3</v>
      </c>
      <c r="N450" s="19">
        <v>500</v>
      </c>
      <c r="O450" s="15">
        <f>M450 * N450</f>
        <v>1500</v>
      </c>
      <c r="P450" s="15">
        <f>O450*$S$3</f>
        <v>22.5</v>
      </c>
      <c r="Q450" s="15">
        <f>O450*$S$4</f>
        <v>30</v>
      </c>
    </row>
    <row r="451" spans="1:17">
      <c r="A451" s="2">
        <v>495</v>
      </c>
      <c r="B451" s="4">
        <f>DAY(G451)</f>
        <v>24</v>
      </c>
      <c r="C451" s="4">
        <f>MONTH(G451)</f>
        <v>7</v>
      </c>
      <c r="D451" s="4">
        <f>YEAR(G451)</f>
        <v>2023</v>
      </c>
      <c r="E451" s="4" t="str">
        <f>TEXT(G451,"dddd")</f>
        <v>Monday</v>
      </c>
      <c r="F451" s="4" t="str">
        <f>TEXT(G451,"mmm")</f>
        <v>Jul</v>
      </c>
      <c r="G451" s="3">
        <v>45131</v>
      </c>
      <c r="H451" s="4" t="s">
        <v>484</v>
      </c>
      <c r="I451" s="4" t="s">
        <v>24</v>
      </c>
      <c r="J451" s="4" t="str" cm="1">
        <f t="array" ref="J451">_xlfn.IFS(K451&lt;30,"Young Adult",K451&lt;=50,"Adult",K451&gt;50,"Senior")</f>
        <v>Young Adult</v>
      </c>
      <c r="K451" s="4">
        <v>24</v>
      </c>
      <c r="L451" s="4" t="s">
        <v>7</v>
      </c>
      <c r="M451" s="4">
        <v>2</v>
      </c>
      <c r="N451" s="19">
        <v>30</v>
      </c>
      <c r="O451" s="15">
        <f>M451 * N451</f>
        <v>60</v>
      </c>
      <c r="P451" s="15">
        <f>O451*$S$3</f>
        <v>0.89999999999999991</v>
      </c>
      <c r="Q451" s="15">
        <f>O451*$S$4</f>
        <v>1.2</v>
      </c>
    </row>
    <row r="452" spans="1:17">
      <c r="A452" s="2">
        <v>773</v>
      </c>
      <c r="B452" s="4">
        <f>DAY(G452)</f>
        <v>23</v>
      </c>
      <c r="C452" s="4">
        <f>MONTH(G452)</f>
        <v>7</v>
      </c>
      <c r="D452" s="4">
        <f>YEAR(G452)</f>
        <v>2023</v>
      </c>
      <c r="E452" s="4" t="str">
        <f>TEXT(G452,"dddd")</f>
        <v>Sunday</v>
      </c>
      <c r="F452" s="4" t="str">
        <f>TEXT(G452,"mmm")</f>
        <v>Jul</v>
      </c>
      <c r="G452" s="3">
        <v>45130</v>
      </c>
      <c r="H452" s="4" t="s">
        <v>485</v>
      </c>
      <c r="I452" s="4" t="s">
        <v>24</v>
      </c>
      <c r="J452" s="4" t="str" cm="1">
        <f t="array" ref="J452">_xlfn.IFS(K452&lt;30,"Young Adult",K452&lt;=50,"Adult",K452&gt;50,"Senior")</f>
        <v>Young Adult</v>
      </c>
      <c r="K452" s="4">
        <v>25</v>
      </c>
      <c r="L452" s="4" t="s">
        <v>9</v>
      </c>
      <c r="M452" s="4">
        <v>4</v>
      </c>
      <c r="N452" s="19">
        <v>500</v>
      </c>
      <c r="O452" s="15">
        <f>M452 * N452</f>
        <v>2000</v>
      </c>
      <c r="P452" s="15">
        <f>O452*$S$3</f>
        <v>30</v>
      </c>
      <c r="Q452" s="15">
        <f>O452*$S$4</f>
        <v>40</v>
      </c>
    </row>
    <row r="453" spans="1:17">
      <c r="A453" s="2">
        <v>359</v>
      </c>
      <c r="B453" s="4">
        <f>DAY(G453)</f>
        <v>22</v>
      </c>
      <c r="C453" s="4">
        <f>MONTH(G453)</f>
        <v>7</v>
      </c>
      <c r="D453" s="4">
        <f>YEAR(G453)</f>
        <v>2023</v>
      </c>
      <c r="E453" s="4" t="str">
        <f>TEXT(G453,"dddd")</f>
        <v>Saturday</v>
      </c>
      <c r="F453" s="4" t="str">
        <f>TEXT(G453,"mmm")</f>
        <v>Jul</v>
      </c>
      <c r="G453" s="3">
        <v>45129</v>
      </c>
      <c r="H453" s="4" t="s">
        <v>486</v>
      </c>
      <c r="I453" s="4" t="s">
        <v>24</v>
      </c>
      <c r="J453" s="4" t="str" cm="1">
        <f t="array" ref="J453">_xlfn.IFS(K453&lt;30,"Young Adult",K453&lt;=50,"Adult",K453&gt;50,"Senior")</f>
        <v>Adult</v>
      </c>
      <c r="K453" s="4">
        <v>50</v>
      </c>
      <c r="L453" s="4" t="s">
        <v>8</v>
      </c>
      <c r="M453" s="4">
        <v>1</v>
      </c>
      <c r="N453" s="19">
        <v>50</v>
      </c>
      <c r="O453" s="15">
        <f>M453 * N453</f>
        <v>50</v>
      </c>
      <c r="P453" s="15">
        <f>O453*$S$3</f>
        <v>0.75</v>
      </c>
      <c r="Q453" s="15">
        <f>O453*$S$4</f>
        <v>1</v>
      </c>
    </row>
    <row r="454" spans="1:17">
      <c r="A454" s="2">
        <v>114</v>
      </c>
      <c r="B454" s="4">
        <f>DAY(G454)</f>
        <v>22</v>
      </c>
      <c r="C454" s="4">
        <f>MONTH(G454)</f>
        <v>7</v>
      </c>
      <c r="D454" s="4">
        <f>YEAR(G454)</f>
        <v>2023</v>
      </c>
      <c r="E454" s="4" t="str">
        <f>TEXT(G454,"dddd")</f>
        <v>Saturday</v>
      </c>
      <c r="F454" s="4" t="str">
        <f>TEXT(G454,"mmm")</f>
        <v>Jul</v>
      </c>
      <c r="G454" s="3">
        <v>45129</v>
      </c>
      <c r="H454" s="4" t="s">
        <v>487</v>
      </c>
      <c r="I454" s="4" t="s">
        <v>29</v>
      </c>
      <c r="J454" s="4" t="str" cm="1">
        <f t="array" ref="J454">_xlfn.IFS(K454&lt;30,"Young Adult",K454&lt;=50,"Adult",K454&gt;50,"Senior")</f>
        <v>Young Adult</v>
      </c>
      <c r="K454" s="4">
        <v>22</v>
      </c>
      <c r="L454" s="4" t="s">
        <v>7</v>
      </c>
      <c r="M454" s="4">
        <v>4</v>
      </c>
      <c r="N454" s="19">
        <v>25</v>
      </c>
      <c r="O454" s="15">
        <f>M454 * N454</f>
        <v>100</v>
      </c>
      <c r="P454" s="15">
        <f>O454*$S$3</f>
        <v>1.5</v>
      </c>
      <c r="Q454" s="15">
        <f>O454*$S$4</f>
        <v>2</v>
      </c>
    </row>
    <row r="455" spans="1:17">
      <c r="A455" s="2">
        <v>709</v>
      </c>
      <c r="B455" s="4">
        <f>DAY(G455)</f>
        <v>21</v>
      </c>
      <c r="C455" s="4">
        <f>MONTH(G455)</f>
        <v>7</v>
      </c>
      <c r="D455" s="4">
        <f>YEAR(G455)</f>
        <v>2023</v>
      </c>
      <c r="E455" s="4" t="str">
        <f>TEXT(G455,"dddd")</f>
        <v>Friday</v>
      </c>
      <c r="F455" s="4" t="str">
        <f>TEXT(G455,"mmm")</f>
        <v>Jul</v>
      </c>
      <c r="G455" s="3">
        <v>45128</v>
      </c>
      <c r="H455" s="4" t="s">
        <v>488</v>
      </c>
      <c r="I455" s="4" t="s">
        <v>29</v>
      </c>
      <c r="J455" s="4" t="str" cm="1">
        <f t="array" ref="J455">_xlfn.IFS(K455&lt;30,"Young Adult",K455&lt;=50,"Adult",K455&gt;50,"Senior")</f>
        <v>Young Adult</v>
      </c>
      <c r="K455" s="4">
        <v>19</v>
      </c>
      <c r="L455" s="4" t="s">
        <v>9</v>
      </c>
      <c r="M455" s="4">
        <v>2</v>
      </c>
      <c r="N455" s="19">
        <v>500</v>
      </c>
      <c r="O455" s="15">
        <f>M455 * N455</f>
        <v>1000</v>
      </c>
      <c r="P455" s="15">
        <f>O455*$S$3</f>
        <v>15</v>
      </c>
      <c r="Q455" s="15">
        <f>O455*$S$4</f>
        <v>20</v>
      </c>
    </row>
    <row r="456" spans="1:17">
      <c r="A456" s="2">
        <v>698</v>
      </c>
      <c r="B456" s="4">
        <f>DAY(G456)</f>
        <v>19</v>
      </c>
      <c r="C456" s="4">
        <f>MONTH(G456)</f>
        <v>7</v>
      </c>
      <c r="D456" s="4">
        <f>YEAR(G456)</f>
        <v>2023</v>
      </c>
      <c r="E456" s="4" t="str">
        <f>TEXT(G456,"dddd")</f>
        <v>Wednesday</v>
      </c>
      <c r="F456" s="4" t="str">
        <f>TEXT(G456,"mmm")</f>
        <v>Jul</v>
      </c>
      <c r="G456" s="3">
        <v>45126</v>
      </c>
      <c r="H456" s="4" t="s">
        <v>489</v>
      </c>
      <c r="I456" s="4" t="s">
        <v>29</v>
      </c>
      <c r="J456" s="4" t="str" cm="1">
        <f t="array" ref="J456">_xlfn.IFS(K456&lt;30,"Young Adult",K456&lt;=50,"Adult",K456&gt;50,"Senior")</f>
        <v>Senior</v>
      </c>
      <c r="K456" s="4">
        <v>64</v>
      </c>
      <c r="L456" s="4" t="s">
        <v>9</v>
      </c>
      <c r="M456" s="4">
        <v>1</v>
      </c>
      <c r="N456" s="19">
        <v>300</v>
      </c>
      <c r="O456" s="15">
        <f>M456 * N456</f>
        <v>300</v>
      </c>
      <c r="P456" s="15">
        <f>O456*$S$3</f>
        <v>4.5</v>
      </c>
      <c r="Q456" s="15">
        <f>O456*$S$4</f>
        <v>6</v>
      </c>
    </row>
    <row r="457" spans="1:17">
      <c r="A457" s="2">
        <v>676</v>
      </c>
      <c r="B457" s="4">
        <f>DAY(G457)</f>
        <v>19</v>
      </c>
      <c r="C457" s="4">
        <f>MONTH(G457)</f>
        <v>7</v>
      </c>
      <c r="D457" s="4">
        <f>YEAR(G457)</f>
        <v>2023</v>
      </c>
      <c r="E457" s="4" t="str">
        <f>TEXT(G457,"dddd")</f>
        <v>Wednesday</v>
      </c>
      <c r="F457" s="4" t="str">
        <f>TEXT(G457,"mmm")</f>
        <v>Jul</v>
      </c>
      <c r="G457" s="3">
        <v>45126</v>
      </c>
      <c r="H457" s="4" t="s">
        <v>490</v>
      </c>
      <c r="I457" s="4" t="s">
        <v>24</v>
      </c>
      <c r="J457" s="4" t="str" cm="1">
        <f t="array" ref="J457">_xlfn.IFS(K457&lt;30,"Young Adult",K457&lt;=50,"Adult",K457&gt;50,"Senior")</f>
        <v>Senior</v>
      </c>
      <c r="K457" s="4">
        <v>63</v>
      </c>
      <c r="L457" s="4" t="s">
        <v>9</v>
      </c>
      <c r="M457" s="4">
        <v>3</v>
      </c>
      <c r="N457" s="19">
        <v>500</v>
      </c>
      <c r="O457" s="15">
        <f>M457 * N457</f>
        <v>1500</v>
      </c>
      <c r="P457" s="15">
        <f>O457*$S$3</f>
        <v>22.5</v>
      </c>
      <c r="Q457" s="15">
        <f>O457*$S$4</f>
        <v>30</v>
      </c>
    </row>
    <row r="458" spans="1:17">
      <c r="A458" s="2">
        <v>304</v>
      </c>
      <c r="B458" s="4">
        <f>DAY(G458)</f>
        <v>19</v>
      </c>
      <c r="C458" s="4">
        <f>MONTH(G458)</f>
        <v>7</v>
      </c>
      <c r="D458" s="4">
        <f>YEAR(G458)</f>
        <v>2023</v>
      </c>
      <c r="E458" s="4" t="str">
        <f>TEXT(G458,"dddd")</f>
        <v>Wednesday</v>
      </c>
      <c r="F458" s="4" t="str">
        <f>TEXT(G458,"mmm")</f>
        <v>Jul</v>
      </c>
      <c r="G458" s="3">
        <v>45126</v>
      </c>
      <c r="H458" s="4" t="s">
        <v>491</v>
      </c>
      <c r="I458" s="4" t="s">
        <v>29</v>
      </c>
      <c r="J458" s="4" t="str" cm="1">
        <f t="array" ref="J458">_xlfn.IFS(K458&lt;30,"Young Adult",K458&lt;=50,"Adult",K458&gt;50,"Senior")</f>
        <v>Adult</v>
      </c>
      <c r="K458" s="4">
        <v>37</v>
      </c>
      <c r="L458" s="4" t="s">
        <v>9</v>
      </c>
      <c r="M458" s="4">
        <v>2</v>
      </c>
      <c r="N458" s="19">
        <v>30</v>
      </c>
      <c r="O458" s="15">
        <f>M458 * N458</f>
        <v>60</v>
      </c>
      <c r="P458" s="15">
        <f>O458*$S$3</f>
        <v>0.89999999999999991</v>
      </c>
      <c r="Q458" s="15">
        <f>O458*$S$4</f>
        <v>1.2</v>
      </c>
    </row>
    <row r="459" spans="1:17">
      <c r="A459" s="2">
        <v>686</v>
      </c>
      <c r="B459" s="4">
        <f>DAY(G459)</f>
        <v>19</v>
      </c>
      <c r="C459" s="4">
        <f>MONTH(G459)</f>
        <v>7</v>
      </c>
      <c r="D459" s="4">
        <f>YEAR(G459)</f>
        <v>2023</v>
      </c>
      <c r="E459" s="4" t="str">
        <f>TEXT(G459,"dddd")</f>
        <v>Wednesday</v>
      </c>
      <c r="F459" s="4" t="str">
        <f>TEXT(G459,"mmm")</f>
        <v>Jul</v>
      </c>
      <c r="G459" s="3">
        <v>45126</v>
      </c>
      <c r="H459" s="4" t="s">
        <v>492</v>
      </c>
      <c r="I459" s="4" t="s">
        <v>29</v>
      </c>
      <c r="J459" s="4" t="str" cm="1">
        <f t="array" ref="J459">_xlfn.IFS(K459&lt;30,"Young Adult",K459&lt;=50,"Adult",K459&gt;50,"Senior")</f>
        <v>Young Adult</v>
      </c>
      <c r="K459" s="4">
        <v>28</v>
      </c>
      <c r="L459" s="4" t="s">
        <v>9</v>
      </c>
      <c r="M459" s="4">
        <v>4</v>
      </c>
      <c r="N459" s="19">
        <v>50</v>
      </c>
      <c r="O459" s="15">
        <f>M459 * N459</f>
        <v>200</v>
      </c>
      <c r="P459" s="15">
        <f>O459*$S$3</f>
        <v>3</v>
      </c>
      <c r="Q459" s="15">
        <f>O459*$S$4</f>
        <v>4</v>
      </c>
    </row>
    <row r="460" spans="1:17">
      <c r="A460" s="2">
        <v>515</v>
      </c>
      <c r="B460" s="4">
        <f>DAY(G460)</f>
        <v>17</v>
      </c>
      <c r="C460" s="4">
        <f>MONTH(G460)</f>
        <v>7</v>
      </c>
      <c r="D460" s="4">
        <f>YEAR(G460)</f>
        <v>2023</v>
      </c>
      <c r="E460" s="4" t="str">
        <f>TEXT(G460,"dddd")</f>
        <v>Monday</v>
      </c>
      <c r="F460" s="4" t="str">
        <f>TEXT(G460,"mmm")</f>
        <v>Jul</v>
      </c>
      <c r="G460" s="3">
        <v>45124</v>
      </c>
      <c r="H460" s="4" t="s">
        <v>493</v>
      </c>
      <c r="I460" s="4" t="s">
        <v>29</v>
      </c>
      <c r="J460" s="4" t="str" cm="1">
        <f t="array" ref="J460">_xlfn.IFS(K460&lt;30,"Young Adult",K460&lt;=50,"Adult",K460&gt;50,"Senior")</f>
        <v>Adult</v>
      </c>
      <c r="K460" s="4">
        <v>49</v>
      </c>
      <c r="L460" s="4" t="s">
        <v>8</v>
      </c>
      <c r="M460" s="4">
        <v>3</v>
      </c>
      <c r="N460" s="19">
        <v>300</v>
      </c>
      <c r="O460" s="15">
        <f>M460 * N460</f>
        <v>900</v>
      </c>
      <c r="P460" s="15">
        <f>O460*$S$3</f>
        <v>13.5</v>
      </c>
      <c r="Q460" s="15">
        <f>O460*$S$4</f>
        <v>18</v>
      </c>
    </row>
    <row r="461" spans="1:17">
      <c r="A461" s="2">
        <v>143</v>
      </c>
      <c r="B461" s="4">
        <f>DAY(G461)</f>
        <v>17</v>
      </c>
      <c r="C461" s="4">
        <f>MONTH(G461)</f>
        <v>7</v>
      </c>
      <c r="D461" s="4">
        <f>YEAR(G461)</f>
        <v>2023</v>
      </c>
      <c r="E461" s="4" t="str">
        <f>TEXT(G461,"dddd")</f>
        <v>Monday</v>
      </c>
      <c r="F461" s="4" t="str">
        <f>TEXT(G461,"mmm")</f>
        <v>Jul</v>
      </c>
      <c r="G461" s="3">
        <v>45124</v>
      </c>
      <c r="H461" s="4" t="s">
        <v>494</v>
      </c>
      <c r="I461" s="4" t="s">
        <v>29</v>
      </c>
      <c r="J461" s="4" t="str" cm="1">
        <f t="array" ref="J461">_xlfn.IFS(K461&lt;30,"Young Adult",K461&lt;=50,"Adult",K461&gt;50,"Senior")</f>
        <v>Adult</v>
      </c>
      <c r="K461" s="4">
        <v>45</v>
      </c>
      <c r="L461" s="4" t="s">
        <v>8</v>
      </c>
      <c r="M461" s="4">
        <v>1</v>
      </c>
      <c r="N461" s="19">
        <v>50</v>
      </c>
      <c r="O461" s="15">
        <f>M461 * N461</f>
        <v>50</v>
      </c>
      <c r="P461" s="15">
        <f>O461*$S$3</f>
        <v>0.75</v>
      </c>
      <c r="Q461" s="15">
        <f>O461*$S$4</f>
        <v>1</v>
      </c>
    </row>
    <row r="462" spans="1:17">
      <c r="A462" s="2">
        <v>661</v>
      </c>
      <c r="B462" s="4">
        <f>DAY(G462)</f>
        <v>16</v>
      </c>
      <c r="C462" s="4">
        <f>MONTH(G462)</f>
        <v>7</v>
      </c>
      <c r="D462" s="4">
        <f>YEAR(G462)</f>
        <v>2023</v>
      </c>
      <c r="E462" s="4" t="str">
        <f>TEXT(G462,"dddd")</f>
        <v>Sunday</v>
      </c>
      <c r="F462" s="4" t="str">
        <f>TEXT(G462,"mmm")</f>
        <v>Jul</v>
      </c>
      <c r="G462" s="3">
        <v>45123</v>
      </c>
      <c r="H462" s="4" t="s">
        <v>495</v>
      </c>
      <c r="I462" s="4" t="s">
        <v>29</v>
      </c>
      <c r="J462" s="4" t="str" cm="1">
        <f t="array" ref="J462">_xlfn.IFS(K462&lt;30,"Young Adult",K462&lt;=50,"Adult",K462&gt;50,"Senior")</f>
        <v>Adult</v>
      </c>
      <c r="K462" s="4">
        <v>44</v>
      </c>
      <c r="L462" s="4" t="s">
        <v>8</v>
      </c>
      <c r="M462" s="4">
        <v>4</v>
      </c>
      <c r="N462" s="19">
        <v>25</v>
      </c>
      <c r="O462" s="15">
        <f>M462 * N462</f>
        <v>100</v>
      </c>
      <c r="P462" s="15">
        <f>O462*$S$3</f>
        <v>1.5</v>
      </c>
      <c r="Q462" s="15">
        <f>O462*$S$4</f>
        <v>2</v>
      </c>
    </row>
    <row r="463" spans="1:17">
      <c r="A463" s="2">
        <v>603</v>
      </c>
      <c r="B463" s="4">
        <f>DAY(G463)</f>
        <v>16</v>
      </c>
      <c r="C463" s="4">
        <f>MONTH(G463)</f>
        <v>7</v>
      </c>
      <c r="D463" s="4">
        <f>YEAR(G463)</f>
        <v>2023</v>
      </c>
      <c r="E463" s="4" t="str">
        <f>TEXT(G463,"dddd")</f>
        <v>Sunday</v>
      </c>
      <c r="F463" s="4" t="str">
        <f>TEXT(G463,"mmm")</f>
        <v>Jul</v>
      </c>
      <c r="G463" s="3">
        <v>45123</v>
      </c>
      <c r="H463" s="4" t="s">
        <v>496</v>
      </c>
      <c r="I463" s="4" t="s">
        <v>29</v>
      </c>
      <c r="J463" s="4" t="str" cm="1">
        <f t="array" ref="J463">_xlfn.IFS(K463&lt;30,"Young Adult",K463&lt;=50,"Adult",K463&gt;50,"Senior")</f>
        <v>Adult</v>
      </c>
      <c r="K463" s="4">
        <v>40</v>
      </c>
      <c r="L463" s="4" t="s">
        <v>8</v>
      </c>
      <c r="M463" s="4">
        <v>3</v>
      </c>
      <c r="N463" s="19">
        <v>30</v>
      </c>
      <c r="O463" s="15">
        <f>M463 * N463</f>
        <v>90</v>
      </c>
      <c r="P463" s="15">
        <f>O463*$S$3</f>
        <v>1.3499999999999999</v>
      </c>
      <c r="Q463" s="15">
        <f>O463*$S$4</f>
        <v>1.8</v>
      </c>
    </row>
    <row r="464" spans="1:17">
      <c r="A464" s="2">
        <v>144</v>
      </c>
      <c r="B464" s="4">
        <f>DAY(G464)</f>
        <v>15</v>
      </c>
      <c r="C464" s="4">
        <f>MONTH(G464)</f>
        <v>7</v>
      </c>
      <c r="D464" s="4">
        <f>YEAR(G464)</f>
        <v>2023</v>
      </c>
      <c r="E464" s="4" t="str">
        <f>TEXT(G464,"dddd")</f>
        <v>Saturday</v>
      </c>
      <c r="F464" s="4" t="str">
        <f>TEXT(G464,"mmm")</f>
        <v>Jul</v>
      </c>
      <c r="G464" s="3">
        <v>45122</v>
      </c>
      <c r="H464" s="4" t="s">
        <v>497</v>
      </c>
      <c r="I464" s="4" t="s">
        <v>29</v>
      </c>
      <c r="J464" s="4" t="str" cm="1">
        <f t="array" ref="J464">_xlfn.IFS(K464&lt;30,"Young Adult",K464&lt;=50,"Adult",K464&gt;50,"Senior")</f>
        <v>Senior</v>
      </c>
      <c r="K464" s="4">
        <v>59</v>
      </c>
      <c r="L464" s="4" t="s">
        <v>7</v>
      </c>
      <c r="M464" s="4">
        <v>3</v>
      </c>
      <c r="N464" s="19">
        <v>500</v>
      </c>
      <c r="O464" s="15">
        <f>M464 * N464</f>
        <v>1500</v>
      </c>
      <c r="P464" s="15">
        <f>O464*$S$3</f>
        <v>22.5</v>
      </c>
      <c r="Q464" s="15">
        <f>O464*$S$4</f>
        <v>30</v>
      </c>
    </row>
    <row r="465" spans="1:17">
      <c r="A465" s="2">
        <v>474</v>
      </c>
      <c r="B465" s="4">
        <f>DAY(G465)</f>
        <v>15</v>
      </c>
      <c r="C465" s="4">
        <f>MONTH(G465)</f>
        <v>7</v>
      </c>
      <c r="D465" s="4">
        <f>YEAR(G465)</f>
        <v>2023</v>
      </c>
      <c r="E465" s="4" t="str">
        <f>TEXT(G465,"dddd")</f>
        <v>Saturday</v>
      </c>
      <c r="F465" s="4" t="str">
        <f>TEXT(G465,"mmm")</f>
        <v>Jul</v>
      </c>
      <c r="G465" s="3">
        <v>45122</v>
      </c>
      <c r="H465" s="4" t="s">
        <v>498</v>
      </c>
      <c r="I465" s="4" t="s">
        <v>29</v>
      </c>
      <c r="J465" s="4" t="str" cm="1">
        <f t="array" ref="J465">_xlfn.IFS(K465&lt;30,"Young Adult",K465&lt;=50,"Adult",K465&gt;50,"Senior")</f>
        <v>Young Adult</v>
      </c>
      <c r="K465" s="4">
        <v>26</v>
      </c>
      <c r="L465" s="4" t="s">
        <v>8</v>
      </c>
      <c r="M465" s="4">
        <v>3</v>
      </c>
      <c r="N465" s="19">
        <v>500</v>
      </c>
      <c r="O465" s="15">
        <f>M465 * N465</f>
        <v>1500</v>
      </c>
      <c r="P465" s="15">
        <f>O465*$S$3</f>
        <v>22.5</v>
      </c>
      <c r="Q465" s="15">
        <f>O465*$S$4</f>
        <v>30</v>
      </c>
    </row>
    <row r="466" spans="1:17">
      <c r="A466" s="2">
        <v>829</v>
      </c>
      <c r="B466" s="4">
        <f>DAY(G466)</f>
        <v>14</v>
      </c>
      <c r="C466" s="4">
        <f>MONTH(G466)</f>
        <v>7</v>
      </c>
      <c r="D466" s="4">
        <f>YEAR(G466)</f>
        <v>2023</v>
      </c>
      <c r="E466" s="4" t="str">
        <f>TEXT(G466,"dddd")</f>
        <v>Friday</v>
      </c>
      <c r="F466" s="4" t="str">
        <f>TEXT(G466,"mmm")</f>
        <v>Jul</v>
      </c>
      <c r="G466" s="3">
        <v>45121</v>
      </c>
      <c r="H466" s="4" t="s">
        <v>499</v>
      </c>
      <c r="I466" s="4" t="s">
        <v>24</v>
      </c>
      <c r="J466" s="4" t="str" cm="1">
        <f t="array" ref="J466">_xlfn.IFS(K466&lt;30,"Young Adult",K466&lt;=50,"Adult",K466&gt;50,"Senior")</f>
        <v>Senior</v>
      </c>
      <c r="K466" s="4">
        <v>61</v>
      </c>
      <c r="L466" s="4" t="s">
        <v>7</v>
      </c>
      <c r="M466" s="4">
        <v>3</v>
      </c>
      <c r="N466" s="19">
        <v>30</v>
      </c>
      <c r="O466" s="15">
        <f>M466 * N466</f>
        <v>90</v>
      </c>
      <c r="P466" s="15">
        <f>O466*$S$3</f>
        <v>1.3499999999999999</v>
      </c>
      <c r="Q466" s="15">
        <f>O466*$S$4</f>
        <v>1.8</v>
      </c>
    </row>
    <row r="467" spans="1:17">
      <c r="A467" s="2">
        <v>955</v>
      </c>
      <c r="B467" s="4">
        <f>DAY(G467)</f>
        <v>14</v>
      </c>
      <c r="C467" s="4">
        <f>MONTH(G467)</f>
        <v>7</v>
      </c>
      <c r="D467" s="4">
        <f>YEAR(G467)</f>
        <v>2023</v>
      </c>
      <c r="E467" s="4" t="str">
        <f>TEXT(G467,"dddd")</f>
        <v>Friday</v>
      </c>
      <c r="F467" s="4" t="str">
        <f>TEXT(G467,"mmm")</f>
        <v>Jul</v>
      </c>
      <c r="G467" s="3">
        <v>45121</v>
      </c>
      <c r="H467" s="4" t="s">
        <v>500</v>
      </c>
      <c r="I467" s="4" t="s">
        <v>24</v>
      </c>
      <c r="J467" s="4" t="str" cm="1">
        <f t="array" ref="J467">_xlfn.IFS(K467&lt;30,"Young Adult",K467&lt;=50,"Adult",K467&gt;50,"Senior")</f>
        <v>Senior</v>
      </c>
      <c r="K467" s="4">
        <v>58</v>
      </c>
      <c r="L467" s="4" t="s">
        <v>8</v>
      </c>
      <c r="M467" s="4">
        <v>1</v>
      </c>
      <c r="N467" s="19">
        <v>25</v>
      </c>
      <c r="O467" s="15">
        <f>M467 * N467</f>
        <v>25</v>
      </c>
      <c r="P467" s="15">
        <f>O467*$S$3</f>
        <v>0.375</v>
      </c>
      <c r="Q467" s="15">
        <f>O467*$S$4</f>
        <v>0.5</v>
      </c>
    </row>
    <row r="468" spans="1:17">
      <c r="A468" s="2">
        <v>302</v>
      </c>
      <c r="B468" s="4">
        <f>DAY(G468)</f>
        <v>14</v>
      </c>
      <c r="C468" s="4">
        <f>MONTH(G468)</f>
        <v>7</v>
      </c>
      <c r="D468" s="4">
        <f>YEAR(G468)</f>
        <v>2023</v>
      </c>
      <c r="E468" s="4" t="str">
        <f>TEXT(G468,"dddd")</f>
        <v>Friday</v>
      </c>
      <c r="F468" s="4" t="str">
        <f>TEXT(G468,"mmm")</f>
        <v>Jul</v>
      </c>
      <c r="G468" s="3">
        <v>45121</v>
      </c>
      <c r="H468" s="4" t="s">
        <v>501</v>
      </c>
      <c r="I468" s="4" t="s">
        <v>24</v>
      </c>
      <c r="J468" s="4" t="str" cm="1">
        <f t="array" ref="J468">_xlfn.IFS(K468&lt;30,"Young Adult",K468&lt;=50,"Adult",K468&gt;50,"Senior")</f>
        <v>Senior</v>
      </c>
      <c r="K468" s="4">
        <v>57</v>
      </c>
      <c r="L468" s="4" t="s">
        <v>7</v>
      </c>
      <c r="M468" s="4">
        <v>2</v>
      </c>
      <c r="N468" s="19">
        <v>300</v>
      </c>
      <c r="O468" s="15">
        <f>M468 * N468</f>
        <v>600</v>
      </c>
      <c r="P468" s="15">
        <f>O468*$S$3</f>
        <v>9</v>
      </c>
      <c r="Q468" s="15">
        <f>O468*$S$4</f>
        <v>12</v>
      </c>
    </row>
    <row r="469" spans="1:17">
      <c r="A469" s="2">
        <v>71</v>
      </c>
      <c r="B469" s="4">
        <f>DAY(G469)</f>
        <v>14</v>
      </c>
      <c r="C469" s="4">
        <f>MONTH(G469)</f>
        <v>7</v>
      </c>
      <c r="D469" s="4">
        <f>YEAR(G469)</f>
        <v>2023</v>
      </c>
      <c r="E469" s="4" t="str">
        <f>TEXT(G469,"dddd")</f>
        <v>Friday</v>
      </c>
      <c r="F469" s="4" t="str">
        <f>TEXT(G469,"mmm")</f>
        <v>Jul</v>
      </c>
      <c r="G469" s="3">
        <v>45121</v>
      </c>
      <c r="H469" s="4" t="s">
        <v>502</v>
      </c>
      <c r="I469" s="4" t="s">
        <v>29</v>
      </c>
      <c r="J469" s="4" t="str" cm="1">
        <f t="array" ref="J469">_xlfn.IFS(K469&lt;30,"Young Adult",K469&lt;=50,"Adult",K469&gt;50,"Senior")</f>
        <v>Senior</v>
      </c>
      <c r="K469" s="4">
        <v>51</v>
      </c>
      <c r="L469" s="4" t="s">
        <v>7</v>
      </c>
      <c r="M469" s="4">
        <v>4</v>
      </c>
      <c r="N469" s="19">
        <v>25</v>
      </c>
      <c r="O469" s="15">
        <f>M469 * N469</f>
        <v>100</v>
      </c>
      <c r="P469" s="15">
        <f>O469*$S$3</f>
        <v>1.5</v>
      </c>
      <c r="Q469" s="15">
        <f>O469*$S$4</f>
        <v>2</v>
      </c>
    </row>
    <row r="470" spans="1:17">
      <c r="A470" s="2">
        <v>728</v>
      </c>
      <c r="B470" s="4">
        <f>DAY(G470)</f>
        <v>14</v>
      </c>
      <c r="C470" s="4">
        <f>MONTH(G470)</f>
        <v>7</v>
      </c>
      <c r="D470" s="4">
        <f>YEAR(G470)</f>
        <v>2023</v>
      </c>
      <c r="E470" s="4" t="str">
        <f>TEXT(G470,"dddd")</f>
        <v>Friday</v>
      </c>
      <c r="F470" s="4" t="str">
        <f>TEXT(G470,"mmm")</f>
        <v>Jul</v>
      </c>
      <c r="G470" s="3">
        <v>45121</v>
      </c>
      <c r="H470" s="4" t="s">
        <v>503</v>
      </c>
      <c r="I470" s="4" t="s">
        <v>24</v>
      </c>
      <c r="J470" s="4" t="str" cm="1">
        <f t="array" ref="J470">_xlfn.IFS(K470&lt;30,"Young Adult",K470&lt;=50,"Adult",K470&gt;50,"Senior")</f>
        <v>Senior</v>
      </c>
      <c r="K470" s="4">
        <v>51</v>
      </c>
      <c r="L470" s="4" t="s">
        <v>9</v>
      </c>
      <c r="M470" s="4">
        <v>3</v>
      </c>
      <c r="N470" s="19">
        <v>50</v>
      </c>
      <c r="O470" s="15">
        <f>M470 * N470</f>
        <v>150</v>
      </c>
      <c r="P470" s="15">
        <f>O470*$S$3</f>
        <v>2.25</v>
      </c>
      <c r="Q470" s="15">
        <f>O470*$S$4</f>
        <v>3</v>
      </c>
    </row>
    <row r="471" spans="1:17">
      <c r="A471" s="2">
        <v>43</v>
      </c>
      <c r="B471" s="4">
        <f>DAY(G471)</f>
        <v>14</v>
      </c>
      <c r="C471" s="4">
        <f>MONTH(G471)</f>
        <v>7</v>
      </c>
      <c r="D471" s="4">
        <f>YEAR(G471)</f>
        <v>2023</v>
      </c>
      <c r="E471" s="4" t="str">
        <f>TEXT(G471,"dddd")</f>
        <v>Friday</v>
      </c>
      <c r="F471" s="4" t="str">
        <f>TEXT(G471,"mmm")</f>
        <v>Jul</v>
      </c>
      <c r="G471" s="3">
        <v>45121</v>
      </c>
      <c r="H471" s="4" t="s">
        <v>504</v>
      </c>
      <c r="I471" s="4" t="s">
        <v>29</v>
      </c>
      <c r="J471" s="4" t="str" cm="1">
        <f t="array" ref="J471">_xlfn.IFS(K471&lt;30,"Young Adult",K471&lt;=50,"Adult",K471&gt;50,"Senior")</f>
        <v>Adult</v>
      </c>
      <c r="K471" s="4">
        <v>48</v>
      </c>
      <c r="L471" s="4" t="s">
        <v>8</v>
      </c>
      <c r="M471" s="4">
        <v>1</v>
      </c>
      <c r="N471" s="19">
        <v>300</v>
      </c>
      <c r="O471" s="15">
        <f>M471 * N471</f>
        <v>300</v>
      </c>
      <c r="P471" s="15">
        <f>O471*$S$3</f>
        <v>4.5</v>
      </c>
      <c r="Q471" s="15">
        <f>O471*$S$4</f>
        <v>6</v>
      </c>
    </row>
    <row r="472" spans="1:17">
      <c r="A472" s="2">
        <v>551</v>
      </c>
      <c r="B472" s="4">
        <f>DAY(G472)</f>
        <v>14</v>
      </c>
      <c r="C472" s="4">
        <f>MONTH(G472)</f>
        <v>7</v>
      </c>
      <c r="D472" s="4">
        <f>YEAR(G472)</f>
        <v>2023</v>
      </c>
      <c r="E472" s="4" t="str">
        <f>TEXT(G472,"dddd")</f>
        <v>Friday</v>
      </c>
      <c r="F472" s="4" t="str">
        <f>TEXT(G472,"mmm")</f>
        <v>Jul</v>
      </c>
      <c r="G472" s="3">
        <v>45121</v>
      </c>
      <c r="H472" s="4" t="s">
        <v>505</v>
      </c>
      <c r="I472" s="4" t="s">
        <v>24</v>
      </c>
      <c r="J472" s="4" t="str" cm="1">
        <f t="array" ref="J472">_xlfn.IFS(K472&lt;30,"Young Adult",K472&lt;=50,"Adult",K472&gt;50,"Senior")</f>
        <v>Adult</v>
      </c>
      <c r="K472" s="4">
        <v>45</v>
      </c>
      <c r="L472" s="4" t="s">
        <v>9</v>
      </c>
      <c r="M472" s="4">
        <v>3</v>
      </c>
      <c r="N472" s="19">
        <v>300</v>
      </c>
      <c r="O472" s="15">
        <f>M472 * N472</f>
        <v>900</v>
      </c>
      <c r="P472" s="15">
        <f>O472*$S$3</f>
        <v>13.5</v>
      </c>
      <c r="Q472" s="15">
        <f>O472*$S$4</f>
        <v>18</v>
      </c>
    </row>
    <row r="473" spans="1:17">
      <c r="A473" s="2">
        <v>681</v>
      </c>
      <c r="B473" s="4">
        <f>DAY(G473)</f>
        <v>14</v>
      </c>
      <c r="C473" s="4">
        <f>MONTH(G473)</f>
        <v>7</v>
      </c>
      <c r="D473" s="4">
        <f>YEAR(G473)</f>
        <v>2023</v>
      </c>
      <c r="E473" s="4" t="str">
        <f>TEXT(G473,"dddd")</f>
        <v>Friday</v>
      </c>
      <c r="F473" s="4" t="str">
        <f>TEXT(G473,"mmm")</f>
        <v>Jul</v>
      </c>
      <c r="G473" s="3">
        <v>45121</v>
      </c>
      <c r="H473" s="4" t="s">
        <v>506</v>
      </c>
      <c r="I473" s="4" t="s">
        <v>29</v>
      </c>
      <c r="J473" s="4" t="str" cm="1">
        <f t="array" ref="J473">_xlfn.IFS(K473&lt;30,"Young Adult",K473&lt;=50,"Adult",K473&gt;50,"Senior")</f>
        <v>Adult</v>
      </c>
      <c r="K473" s="4">
        <v>43</v>
      </c>
      <c r="L473" s="4" t="s">
        <v>9</v>
      </c>
      <c r="M473" s="4">
        <v>2</v>
      </c>
      <c r="N473" s="19">
        <v>30</v>
      </c>
      <c r="O473" s="15">
        <f>M473 * N473</f>
        <v>60</v>
      </c>
      <c r="P473" s="15">
        <f>O473*$S$3</f>
        <v>0.89999999999999991</v>
      </c>
      <c r="Q473" s="15">
        <f>O473*$S$4</f>
        <v>1.2</v>
      </c>
    </row>
    <row r="474" spans="1:17">
      <c r="A474" s="2">
        <v>93</v>
      </c>
      <c r="B474" s="4">
        <f>DAY(G474)</f>
        <v>14</v>
      </c>
      <c r="C474" s="4">
        <f>MONTH(G474)</f>
        <v>7</v>
      </c>
      <c r="D474" s="4">
        <f>YEAR(G474)</f>
        <v>2023</v>
      </c>
      <c r="E474" s="4" t="str">
        <f>TEXT(G474,"dddd")</f>
        <v>Friday</v>
      </c>
      <c r="F474" s="4" t="str">
        <f>TEXT(G474,"mmm")</f>
        <v>Jul</v>
      </c>
      <c r="G474" s="3">
        <v>45121</v>
      </c>
      <c r="H474" s="4" t="s">
        <v>507</v>
      </c>
      <c r="I474" s="4" t="s">
        <v>29</v>
      </c>
      <c r="J474" s="4" t="str" cm="1">
        <f t="array" ref="J474">_xlfn.IFS(K474&lt;30,"Young Adult",K474&lt;=50,"Adult",K474&gt;50,"Senior")</f>
        <v>Adult</v>
      </c>
      <c r="K474" s="4">
        <v>35</v>
      </c>
      <c r="L474" s="4" t="s">
        <v>7</v>
      </c>
      <c r="M474" s="4">
        <v>4</v>
      </c>
      <c r="N474" s="19">
        <v>500</v>
      </c>
      <c r="O474" s="15">
        <f>M474 * N474</f>
        <v>2000</v>
      </c>
      <c r="P474" s="15">
        <f>O474*$S$3</f>
        <v>30</v>
      </c>
      <c r="Q474" s="15">
        <f>O474*$S$4</f>
        <v>40</v>
      </c>
    </row>
    <row r="475" spans="1:17">
      <c r="A475" s="2">
        <v>722</v>
      </c>
      <c r="B475" s="4">
        <f>DAY(G475)</f>
        <v>14</v>
      </c>
      <c r="C475" s="4">
        <f>MONTH(G475)</f>
        <v>7</v>
      </c>
      <c r="D475" s="4">
        <f>YEAR(G475)</f>
        <v>2023</v>
      </c>
      <c r="E475" s="4" t="str">
        <f>TEXT(G475,"dddd")</f>
        <v>Friday</v>
      </c>
      <c r="F475" s="4" t="str">
        <f>TEXT(G475,"mmm")</f>
        <v>Jul</v>
      </c>
      <c r="G475" s="3">
        <v>45121</v>
      </c>
      <c r="H475" s="4" t="s">
        <v>508</v>
      </c>
      <c r="I475" s="4" t="s">
        <v>24</v>
      </c>
      <c r="J475" s="4" t="str" cm="1">
        <f t="array" ref="J475">_xlfn.IFS(K475&lt;30,"Young Adult",K475&lt;=50,"Adult",K475&gt;50,"Senior")</f>
        <v>Young Adult</v>
      </c>
      <c r="K475" s="4">
        <v>20</v>
      </c>
      <c r="L475" s="4" t="s">
        <v>7</v>
      </c>
      <c r="M475" s="4">
        <v>3</v>
      </c>
      <c r="N475" s="19">
        <v>300</v>
      </c>
      <c r="O475" s="15">
        <f>M475 * N475</f>
        <v>900</v>
      </c>
      <c r="P475" s="15">
        <f>O475*$S$3</f>
        <v>13.5</v>
      </c>
      <c r="Q475" s="15">
        <f>O475*$S$4</f>
        <v>18</v>
      </c>
    </row>
    <row r="476" spans="1:17">
      <c r="A476" s="2">
        <v>53</v>
      </c>
      <c r="B476" s="4">
        <f>DAY(G476)</f>
        <v>13</v>
      </c>
      <c r="C476" s="4">
        <f>MONTH(G476)</f>
        <v>7</v>
      </c>
      <c r="D476" s="4">
        <f>YEAR(G476)</f>
        <v>2023</v>
      </c>
      <c r="E476" s="4" t="str">
        <f>TEXT(G476,"dddd")</f>
        <v>Thursday</v>
      </c>
      <c r="F476" s="4" t="str">
        <f>TEXT(G476,"mmm")</f>
        <v>Jul</v>
      </c>
      <c r="G476" s="3">
        <v>45120</v>
      </c>
      <c r="H476" s="4" t="s">
        <v>509</v>
      </c>
      <c r="I476" s="4" t="s">
        <v>24</v>
      </c>
      <c r="J476" s="4" t="str" cm="1">
        <f t="array" ref="J476">_xlfn.IFS(K476&lt;30,"Young Adult",K476&lt;=50,"Adult",K476&gt;50,"Senior")</f>
        <v>Adult</v>
      </c>
      <c r="K476" s="4">
        <v>34</v>
      </c>
      <c r="L476" s="4" t="s">
        <v>9</v>
      </c>
      <c r="M476" s="4">
        <v>2</v>
      </c>
      <c r="N476" s="19">
        <v>50</v>
      </c>
      <c r="O476" s="15">
        <f>M476 * N476</f>
        <v>100</v>
      </c>
      <c r="P476" s="15">
        <f>O476*$S$3</f>
        <v>1.5</v>
      </c>
      <c r="Q476" s="15">
        <f>O476*$S$4</f>
        <v>2</v>
      </c>
    </row>
    <row r="477" spans="1:17">
      <c r="A477" s="2">
        <v>772</v>
      </c>
      <c r="B477" s="4">
        <f>DAY(G477)</f>
        <v>12</v>
      </c>
      <c r="C477" s="4">
        <f>MONTH(G477)</f>
        <v>7</v>
      </c>
      <c r="D477" s="4">
        <f>YEAR(G477)</f>
        <v>2023</v>
      </c>
      <c r="E477" s="4" t="str">
        <f>TEXT(G477,"dddd")</f>
        <v>Wednesday</v>
      </c>
      <c r="F477" s="4" t="str">
        <f>TEXT(G477,"mmm")</f>
        <v>Jul</v>
      </c>
      <c r="G477" s="3">
        <v>45119</v>
      </c>
      <c r="H477" s="4" t="s">
        <v>510</v>
      </c>
      <c r="I477" s="4" t="s">
        <v>24</v>
      </c>
      <c r="J477" s="4" t="str" cm="1">
        <f t="array" ref="J477">_xlfn.IFS(K477&lt;30,"Young Adult",K477&lt;=50,"Adult",K477&gt;50,"Senior")</f>
        <v>Young Adult</v>
      </c>
      <c r="K477" s="4">
        <v>26</v>
      </c>
      <c r="L477" s="4" t="s">
        <v>9</v>
      </c>
      <c r="M477" s="4">
        <v>1</v>
      </c>
      <c r="N477" s="19">
        <v>30</v>
      </c>
      <c r="O477" s="15">
        <f>M477 * N477</f>
        <v>30</v>
      </c>
      <c r="P477" s="15">
        <f>O477*$S$3</f>
        <v>0.44999999999999996</v>
      </c>
      <c r="Q477" s="15">
        <f>O477*$S$4</f>
        <v>0.6</v>
      </c>
    </row>
    <row r="478" spans="1:17">
      <c r="A478" s="2">
        <v>216</v>
      </c>
      <c r="B478" s="4">
        <f>DAY(G478)</f>
        <v>11</v>
      </c>
      <c r="C478" s="4">
        <f>MONTH(G478)</f>
        <v>7</v>
      </c>
      <c r="D478" s="4">
        <f>YEAR(G478)</f>
        <v>2023</v>
      </c>
      <c r="E478" s="4" t="str">
        <f>TEXT(G478,"dddd")</f>
        <v>Tuesday</v>
      </c>
      <c r="F478" s="4" t="str">
        <f>TEXT(G478,"mmm")</f>
        <v>Jul</v>
      </c>
      <c r="G478" s="3">
        <v>45118</v>
      </c>
      <c r="H478" s="4" t="s">
        <v>511</v>
      </c>
      <c r="I478" s="4" t="s">
        <v>24</v>
      </c>
      <c r="J478" s="4" t="str" cm="1">
        <f t="array" ref="J478">_xlfn.IFS(K478&lt;30,"Young Adult",K478&lt;=50,"Adult",K478&gt;50,"Senior")</f>
        <v>Senior</v>
      </c>
      <c r="K478" s="4">
        <v>62</v>
      </c>
      <c r="L478" s="4" t="s">
        <v>9</v>
      </c>
      <c r="M478" s="4">
        <v>2</v>
      </c>
      <c r="N478" s="19">
        <v>50</v>
      </c>
      <c r="O478" s="15">
        <f>M478 * N478</f>
        <v>100</v>
      </c>
      <c r="P478" s="15">
        <f>O478*$S$3</f>
        <v>1.5</v>
      </c>
      <c r="Q478" s="15">
        <f>O478*$S$4</f>
        <v>2</v>
      </c>
    </row>
    <row r="479" spans="1:17">
      <c r="A479" s="2">
        <v>176</v>
      </c>
      <c r="B479" s="4">
        <f>DAY(G479)</f>
        <v>11</v>
      </c>
      <c r="C479" s="4">
        <f>MONTH(G479)</f>
        <v>7</v>
      </c>
      <c r="D479" s="4">
        <f>YEAR(G479)</f>
        <v>2023</v>
      </c>
      <c r="E479" s="4" t="str">
        <f>TEXT(G479,"dddd")</f>
        <v>Tuesday</v>
      </c>
      <c r="F479" s="4" t="str">
        <f>TEXT(G479,"mmm")</f>
        <v>Jul</v>
      </c>
      <c r="G479" s="3">
        <v>45118</v>
      </c>
      <c r="H479" s="4" t="s">
        <v>512</v>
      </c>
      <c r="I479" s="4" t="s">
        <v>29</v>
      </c>
      <c r="J479" s="4" t="str" cm="1">
        <f t="array" ref="J479">_xlfn.IFS(K479&lt;30,"Young Adult",K479&lt;=50,"Adult",K479&gt;50,"Senior")</f>
        <v>Adult</v>
      </c>
      <c r="K479" s="4">
        <v>43</v>
      </c>
      <c r="L479" s="4" t="s">
        <v>7</v>
      </c>
      <c r="M479" s="4">
        <v>2</v>
      </c>
      <c r="N479" s="19">
        <v>50</v>
      </c>
      <c r="O479" s="15">
        <f>M479 * N479</f>
        <v>100</v>
      </c>
      <c r="P479" s="15">
        <f>O479*$S$3</f>
        <v>1.5</v>
      </c>
      <c r="Q479" s="15">
        <f>O479*$S$4</f>
        <v>2</v>
      </c>
    </row>
    <row r="480" spans="1:17">
      <c r="A480" s="2">
        <v>439</v>
      </c>
      <c r="B480" s="4">
        <f>DAY(G480)</f>
        <v>9</v>
      </c>
      <c r="C480" s="4">
        <f>MONTH(G480)</f>
        <v>7</v>
      </c>
      <c r="D480" s="4">
        <f>YEAR(G480)</f>
        <v>2023</v>
      </c>
      <c r="E480" s="4" t="str">
        <f>TEXT(G480,"dddd")</f>
        <v>Sunday</v>
      </c>
      <c r="F480" s="4" t="str">
        <f>TEXT(G480,"mmm")</f>
        <v>Jul</v>
      </c>
      <c r="G480" s="3">
        <v>45116</v>
      </c>
      <c r="H480" s="4" t="s">
        <v>513</v>
      </c>
      <c r="I480" s="4" t="s">
        <v>24</v>
      </c>
      <c r="J480" s="4" t="str" cm="1">
        <f t="array" ref="J480">_xlfn.IFS(K480&lt;30,"Young Adult",K480&lt;=50,"Adult",K480&gt;50,"Senior")</f>
        <v>Adult</v>
      </c>
      <c r="K480" s="4">
        <v>50</v>
      </c>
      <c r="L480" s="4" t="s">
        <v>8</v>
      </c>
      <c r="M480" s="4">
        <v>3</v>
      </c>
      <c r="N480" s="19">
        <v>25</v>
      </c>
      <c r="O480" s="15">
        <f>M480 * N480</f>
        <v>75</v>
      </c>
      <c r="P480" s="15">
        <f>O480*$S$3</f>
        <v>1.125</v>
      </c>
      <c r="Q480" s="15">
        <f>O480*$S$4</f>
        <v>1.5</v>
      </c>
    </row>
    <row r="481" spans="1:17">
      <c r="A481" s="2">
        <v>77</v>
      </c>
      <c r="B481" s="4">
        <f>DAY(G481)</f>
        <v>9</v>
      </c>
      <c r="C481" s="4">
        <f>MONTH(G481)</f>
        <v>7</v>
      </c>
      <c r="D481" s="4">
        <f>YEAR(G481)</f>
        <v>2023</v>
      </c>
      <c r="E481" s="4" t="str">
        <f>TEXT(G481,"dddd")</f>
        <v>Sunday</v>
      </c>
      <c r="F481" s="4" t="str">
        <f>TEXT(G481,"mmm")</f>
        <v>Jul</v>
      </c>
      <c r="G481" s="3">
        <v>45116</v>
      </c>
      <c r="H481" s="4" t="s">
        <v>514</v>
      </c>
      <c r="I481" s="4" t="s">
        <v>29</v>
      </c>
      <c r="J481" s="4" t="str" cm="1">
        <f t="array" ref="J481">_xlfn.IFS(K481&lt;30,"Young Adult",K481&lt;=50,"Adult",K481&gt;50,"Senior")</f>
        <v>Adult</v>
      </c>
      <c r="K481" s="4">
        <v>47</v>
      </c>
      <c r="L481" s="4" t="s">
        <v>8</v>
      </c>
      <c r="M481" s="4">
        <v>2</v>
      </c>
      <c r="N481" s="19">
        <v>50</v>
      </c>
      <c r="O481" s="15">
        <f>M481 * N481</f>
        <v>100</v>
      </c>
      <c r="P481" s="15">
        <f>O481*$S$3</f>
        <v>1.5</v>
      </c>
      <c r="Q481" s="15">
        <f>O481*$S$4</f>
        <v>2</v>
      </c>
    </row>
    <row r="482" spans="1:17">
      <c r="A482" s="2">
        <v>381</v>
      </c>
      <c r="B482" s="4">
        <f>DAY(G482)</f>
        <v>9</v>
      </c>
      <c r="C482" s="4">
        <f>MONTH(G482)</f>
        <v>7</v>
      </c>
      <c r="D482" s="4">
        <f>YEAR(G482)</f>
        <v>2023</v>
      </c>
      <c r="E482" s="4" t="str">
        <f>TEXT(G482,"dddd")</f>
        <v>Sunday</v>
      </c>
      <c r="F482" s="4" t="str">
        <f>TEXT(G482,"mmm")</f>
        <v>Jul</v>
      </c>
      <c r="G482" s="3">
        <v>45116</v>
      </c>
      <c r="H482" s="4" t="s">
        <v>515</v>
      </c>
      <c r="I482" s="4" t="s">
        <v>29</v>
      </c>
      <c r="J482" s="4" t="str" cm="1">
        <f t="array" ref="J482">_xlfn.IFS(K482&lt;30,"Young Adult",K482&lt;=50,"Adult",K482&gt;50,"Senior")</f>
        <v>Adult</v>
      </c>
      <c r="K482" s="4">
        <v>44</v>
      </c>
      <c r="L482" s="4" t="s">
        <v>8</v>
      </c>
      <c r="M482" s="4">
        <v>4</v>
      </c>
      <c r="N482" s="19">
        <v>25</v>
      </c>
      <c r="O482" s="15">
        <f>M482 * N482</f>
        <v>100</v>
      </c>
      <c r="P482" s="15">
        <f>O482*$S$3</f>
        <v>1.5</v>
      </c>
      <c r="Q482" s="15">
        <f>O482*$S$4</f>
        <v>2</v>
      </c>
    </row>
    <row r="483" spans="1:17">
      <c r="A483" s="2">
        <v>792</v>
      </c>
      <c r="B483" s="4">
        <f>DAY(G483)</f>
        <v>9</v>
      </c>
      <c r="C483" s="4">
        <f>MONTH(G483)</f>
        <v>7</v>
      </c>
      <c r="D483" s="4">
        <f>YEAR(G483)</f>
        <v>2023</v>
      </c>
      <c r="E483" s="4" t="str">
        <f>TEXT(G483,"dddd")</f>
        <v>Sunday</v>
      </c>
      <c r="F483" s="4" t="str">
        <f>TEXT(G483,"mmm")</f>
        <v>Jul</v>
      </c>
      <c r="G483" s="3">
        <v>45116</v>
      </c>
      <c r="H483" s="4" t="s">
        <v>516</v>
      </c>
      <c r="I483" s="4" t="s">
        <v>29</v>
      </c>
      <c r="J483" s="4" t="str" cm="1">
        <f t="array" ref="J483">_xlfn.IFS(K483&lt;30,"Young Adult",K483&lt;=50,"Adult",K483&gt;50,"Senior")</f>
        <v>Young Adult</v>
      </c>
      <c r="K483" s="4">
        <v>20</v>
      </c>
      <c r="L483" s="4" t="s">
        <v>7</v>
      </c>
      <c r="M483" s="4">
        <v>1</v>
      </c>
      <c r="N483" s="19">
        <v>50</v>
      </c>
      <c r="O483" s="15">
        <f>M483 * N483</f>
        <v>50</v>
      </c>
      <c r="P483" s="15">
        <f>O483*$S$3</f>
        <v>0.75</v>
      </c>
      <c r="Q483" s="15">
        <f>O483*$S$4</f>
        <v>1</v>
      </c>
    </row>
    <row r="484" spans="1:17">
      <c r="A484" s="2">
        <v>759</v>
      </c>
      <c r="B484" s="4">
        <f>DAY(G484)</f>
        <v>8</v>
      </c>
      <c r="C484" s="4">
        <f>MONTH(G484)</f>
        <v>7</v>
      </c>
      <c r="D484" s="4">
        <f>YEAR(G484)</f>
        <v>2023</v>
      </c>
      <c r="E484" s="4" t="str">
        <f>TEXT(G484,"dddd")</f>
        <v>Saturday</v>
      </c>
      <c r="F484" s="4" t="str">
        <f>TEXT(G484,"mmm")</f>
        <v>Jul</v>
      </c>
      <c r="G484" s="3">
        <v>45115</v>
      </c>
      <c r="H484" s="4" t="s">
        <v>517</v>
      </c>
      <c r="I484" s="4" t="s">
        <v>24</v>
      </c>
      <c r="J484" s="4" t="str" cm="1">
        <f t="array" ref="J484">_xlfn.IFS(K484&lt;30,"Young Adult",K484&lt;=50,"Adult",K484&gt;50,"Senior")</f>
        <v>Adult</v>
      </c>
      <c r="K484" s="4">
        <v>49</v>
      </c>
      <c r="L484" s="4" t="s">
        <v>9</v>
      </c>
      <c r="M484" s="4">
        <v>2</v>
      </c>
      <c r="N484" s="19">
        <v>50</v>
      </c>
      <c r="O484" s="15">
        <f>M484 * N484</f>
        <v>100</v>
      </c>
      <c r="P484" s="15">
        <f>O484*$S$3</f>
        <v>1.5</v>
      </c>
      <c r="Q484" s="15">
        <f>O484*$S$4</f>
        <v>2</v>
      </c>
    </row>
    <row r="485" spans="1:17">
      <c r="A485" s="2">
        <v>870</v>
      </c>
      <c r="B485" s="4">
        <f>DAY(G485)</f>
        <v>8</v>
      </c>
      <c r="C485" s="4">
        <f>MONTH(G485)</f>
        <v>7</v>
      </c>
      <c r="D485" s="4">
        <f>YEAR(G485)</f>
        <v>2023</v>
      </c>
      <c r="E485" s="4" t="str">
        <f>TEXT(G485,"dddd")</f>
        <v>Saturday</v>
      </c>
      <c r="F485" s="4" t="str">
        <f>TEXT(G485,"mmm")</f>
        <v>Jul</v>
      </c>
      <c r="G485" s="3">
        <v>45115</v>
      </c>
      <c r="H485" s="4" t="s">
        <v>518</v>
      </c>
      <c r="I485" s="4" t="s">
        <v>29</v>
      </c>
      <c r="J485" s="4" t="str" cm="1">
        <f t="array" ref="J485">_xlfn.IFS(K485&lt;30,"Young Adult",K485&lt;=50,"Adult",K485&gt;50,"Senior")</f>
        <v>Adult</v>
      </c>
      <c r="K485" s="4">
        <v>46</v>
      </c>
      <c r="L485" s="4" t="s">
        <v>9</v>
      </c>
      <c r="M485" s="4">
        <v>4</v>
      </c>
      <c r="N485" s="19">
        <v>30</v>
      </c>
      <c r="O485" s="15">
        <f>M485 * N485</f>
        <v>120</v>
      </c>
      <c r="P485" s="15">
        <f>O485*$S$3</f>
        <v>1.7999999999999998</v>
      </c>
      <c r="Q485" s="15">
        <f>O485*$S$4</f>
        <v>2.4</v>
      </c>
    </row>
    <row r="486" spans="1:17">
      <c r="A486" s="2">
        <v>75</v>
      </c>
      <c r="B486" s="4">
        <f>DAY(G486)</f>
        <v>6</v>
      </c>
      <c r="C486" s="4">
        <f>MONTH(G486)</f>
        <v>7</v>
      </c>
      <c r="D486" s="4">
        <f>YEAR(G486)</f>
        <v>2023</v>
      </c>
      <c r="E486" s="4" t="str">
        <f>TEXT(G486,"dddd")</f>
        <v>Thursday</v>
      </c>
      <c r="F486" s="4" t="str">
        <f>TEXT(G486,"mmm")</f>
        <v>Jul</v>
      </c>
      <c r="G486" s="3">
        <v>45113</v>
      </c>
      <c r="H486" s="4" t="s">
        <v>519</v>
      </c>
      <c r="I486" s="4" t="s">
        <v>24</v>
      </c>
      <c r="J486" s="4" t="str" cm="1">
        <f t="array" ref="J486">_xlfn.IFS(K486&lt;30,"Young Adult",K486&lt;=50,"Adult",K486&gt;50,"Senior")</f>
        <v>Senior</v>
      </c>
      <c r="K486" s="4">
        <v>61</v>
      </c>
      <c r="L486" s="4" t="s">
        <v>7</v>
      </c>
      <c r="M486" s="4">
        <v>4</v>
      </c>
      <c r="N486" s="19">
        <v>50</v>
      </c>
      <c r="O486" s="15">
        <f>M486 * N486</f>
        <v>200</v>
      </c>
      <c r="P486" s="15">
        <f>O486*$S$3</f>
        <v>3</v>
      </c>
      <c r="Q486" s="15">
        <f>O486*$S$4</f>
        <v>4</v>
      </c>
    </row>
    <row r="487" spans="1:17">
      <c r="A487" s="2">
        <v>528</v>
      </c>
      <c r="B487" s="4">
        <f>DAY(G487)</f>
        <v>6</v>
      </c>
      <c r="C487" s="4">
        <f>MONTH(G487)</f>
        <v>7</v>
      </c>
      <c r="D487" s="4">
        <f>YEAR(G487)</f>
        <v>2023</v>
      </c>
      <c r="E487" s="4" t="str">
        <f>TEXT(G487,"dddd")</f>
        <v>Thursday</v>
      </c>
      <c r="F487" s="4" t="str">
        <f>TEXT(G487,"mmm")</f>
        <v>Jul</v>
      </c>
      <c r="G487" s="3">
        <v>45113</v>
      </c>
      <c r="H487" s="4" t="s">
        <v>520</v>
      </c>
      <c r="I487" s="4" t="s">
        <v>29</v>
      </c>
      <c r="J487" s="4" t="str" cm="1">
        <f t="array" ref="J487">_xlfn.IFS(K487&lt;30,"Young Adult",K487&lt;=50,"Adult",K487&gt;50,"Senior")</f>
        <v>Adult</v>
      </c>
      <c r="K487" s="4">
        <v>36</v>
      </c>
      <c r="L487" s="4" t="s">
        <v>8</v>
      </c>
      <c r="M487" s="4">
        <v>2</v>
      </c>
      <c r="N487" s="19">
        <v>30</v>
      </c>
      <c r="O487" s="15">
        <f>M487 * N487</f>
        <v>60</v>
      </c>
      <c r="P487" s="15">
        <f>O487*$S$3</f>
        <v>0.89999999999999991</v>
      </c>
      <c r="Q487" s="15">
        <f>O487*$S$4</f>
        <v>1.2</v>
      </c>
    </row>
    <row r="488" spans="1:17">
      <c r="A488" s="2">
        <v>447</v>
      </c>
      <c r="B488" s="4">
        <f>DAY(G488)</f>
        <v>6</v>
      </c>
      <c r="C488" s="4">
        <f>MONTH(G488)</f>
        <v>7</v>
      </c>
      <c r="D488" s="4">
        <f>YEAR(G488)</f>
        <v>2023</v>
      </c>
      <c r="E488" s="4" t="str">
        <f>TEXT(G488,"dddd")</f>
        <v>Thursday</v>
      </c>
      <c r="F488" s="4" t="str">
        <f>TEXT(G488,"mmm")</f>
        <v>Jul</v>
      </c>
      <c r="G488" s="3">
        <v>45113</v>
      </c>
      <c r="H488" s="4" t="s">
        <v>521</v>
      </c>
      <c r="I488" s="4" t="s">
        <v>24</v>
      </c>
      <c r="J488" s="4" t="str" cm="1">
        <f t="array" ref="J488">_xlfn.IFS(K488&lt;30,"Young Adult",K488&lt;=50,"Adult",K488&gt;50,"Senior")</f>
        <v>Young Adult</v>
      </c>
      <c r="K488" s="4">
        <v>22</v>
      </c>
      <c r="L488" s="4" t="s">
        <v>7</v>
      </c>
      <c r="M488" s="4">
        <v>4</v>
      </c>
      <c r="N488" s="19">
        <v>500</v>
      </c>
      <c r="O488" s="15">
        <f>M488 * N488</f>
        <v>2000</v>
      </c>
      <c r="P488" s="15">
        <f>O488*$S$3</f>
        <v>30</v>
      </c>
      <c r="Q488" s="15">
        <f>O488*$S$4</f>
        <v>40</v>
      </c>
    </row>
    <row r="489" spans="1:17">
      <c r="A489" s="2">
        <v>59</v>
      </c>
      <c r="B489" s="4">
        <f>DAY(G489)</f>
        <v>5</v>
      </c>
      <c r="C489" s="4">
        <f>MONTH(G489)</f>
        <v>7</v>
      </c>
      <c r="D489" s="4">
        <f>YEAR(G489)</f>
        <v>2023</v>
      </c>
      <c r="E489" s="4" t="str">
        <f>TEXT(G489,"dddd")</f>
        <v>Wednesday</v>
      </c>
      <c r="F489" s="4" t="str">
        <f>TEXT(G489,"mmm")</f>
        <v>Jul</v>
      </c>
      <c r="G489" s="3">
        <v>45112</v>
      </c>
      <c r="H489" s="4" t="s">
        <v>522</v>
      </c>
      <c r="I489" s="4" t="s">
        <v>24</v>
      </c>
      <c r="J489" s="4" t="str" cm="1">
        <f t="array" ref="J489">_xlfn.IFS(K489&lt;30,"Young Adult",K489&lt;=50,"Adult",K489&gt;50,"Senior")</f>
        <v>Senior</v>
      </c>
      <c r="K489" s="4">
        <v>62</v>
      </c>
      <c r="L489" s="4" t="s">
        <v>8</v>
      </c>
      <c r="M489" s="4">
        <v>1</v>
      </c>
      <c r="N489" s="19">
        <v>50</v>
      </c>
      <c r="O489" s="15">
        <f>M489 * N489</f>
        <v>50</v>
      </c>
      <c r="P489" s="15">
        <f>O489*$S$3</f>
        <v>0.75</v>
      </c>
      <c r="Q489" s="15">
        <f>O489*$S$4</f>
        <v>1</v>
      </c>
    </row>
    <row r="490" spans="1:17">
      <c r="A490" s="2">
        <v>802</v>
      </c>
      <c r="B490" s="4">
        <f>DAY(G490)</f>
        <v>5</v>
      </c>
      <c r="C490" s="4">
        <f>MONTH(G490)</f>
        <v>7</v>
      </c>
      <c r="D490" s="4">
        <f>YEAR(G490)</f>
        <v>2023</v>
      </c>
      <c r="E490" s="4" t="str">
        <f>TEXT(G490,"dddd")</f>
        <v>Wednesday</v>
      </c>
      <c r="F490" s="4" t="str">
        <f>TEXT(G490,"mmm")</f>
        <v>Jul</v>
      </c>
      <c r="G490" s="3">
        <v>45112</v>
      </c>
      <c r="H490" s="4" t="s">
        <v>523</v>
      </c>
      <c r="I490" s="4" t="s">
        <v>29</v>
      </c>
      <c r="J490" s="4" t="str" cm="1">
        <f t="array" ref="J490">_xlfn.IFS(K490&lt;30,"Young Adult",K490&lt;=50,"Adult",K490&gt;50,"Senior")</f>
        <v>Adult</v>
      </c>
      <c r="K490" s="4">
        <v>46</v>
      </c>
      <c r="L490" s="4" t="s">
        <v>7</v>
      </c>
      <c r="M490" s="4">
        <v>1</v>
      </c>
      <c r="N490" s="19">
        <v>30</v>
      </c>
      <c r="O490" s="15">
        <f>M490 * N490</f>
        <v>30</v>
      </c>
      <c r="P490" s="15">
        <f>O490*$S$3</f>
        <v>0.44999999999999996</v>
      </c>
      <c r="Q490" s="15">
        <f>O490*$S$4</f>
        <v>0.6</v>
      </c>
    </row>
    <row r="491" spans="1:17">
      <c r="A491" s="2">
        <v>128</v>
      </c>
      <c r="B491" s="4">
        <f>DAY(G491)</f>
        <v>5</v>
      </c>
      <c r="C491" s="4">
        <f>MONTH(G491)</f>
        <v>7</v>
      </c>
      <c r="D491" s="4">
        <f>YEAR(G491)</f>
        <v>2023</v>
      </c>
      <c r="E491" s="4" t="str">
        <f>TEXT(G491,"dddd")</f>
        <v>Wednesday</v>
      </c>
      <c r="F491" s="4" t="str">
        <f>TEXT(G491,"mmm")</f>
        <v>Jul</v>
      </c>
      <c r="G491" s="3">
        <v>45112</v>
      </c>
      <c r="H491" s="4" t="s">
        <v>524</v>
      </c>
      <c r="I491" s="4" t="s">
        <v>24</v>
      </c>
      <c r="J491" s="4" t="str" cm="1">
        <f t="array" ref="J491">_xlfn.IFS(K491&lt;30,"Young Adult",K491&lt;=50,"Adult",K491&gt;50,"Senior")</f>
        <v>Young Adult</v>
      </c>
      <c r="K491" s="4">
        <v>25</v>
      </c>
      <c r="L491" s="4" t="s">
        <v>7</v>
      </c>
      <c r="M491" s="4">
        <v>1</v>
      </c>
      <c r="N491" s="19">
        <v>500</v>
      </c>
      <c r="O491" s="15">
        <f>M491 * N491</f>
        <v>500</v>
      </c>
      <c r="P491" s="15">
        <f>O491*$S$3</f>
        <v>7.5</v>
      </c>
      <c r="Q491" s="15">
        <f>O491*$S$4</f>
        <v>10</v>
      </c>
    </row>
    <row r="492" spans="1:17">
      <c r="A492" s="2">
        <v>186</v>
      </c>
      <c r="B492" s="4">
        <f>DAY(G492)</f>
        <v>5</v>
      </c>
      <c r="C492" s="4">
        <f>MONTH(G492)</f>
        <v>7</v>
      </c>
      <c r="D492" s="4">
        <f>YEAR(G492)</f>
        <v>2023</v>
      </c>
      <c r="E492" s="4" t="str">
        <f>TEXT(G492,"dddd")</f>
        <v>Wednesday</v>
      </c>
      <c r="F492" s="4" t="str">
        <f>TEXT(G492,"mmm")</f>
        <v>Jul</v>
      </c>
      <c r="G492" s="3">
        <v>45112</v>
      </c>
      <c r="H492" s="4" t="s">
        <v>525</v>
      </c>
      <c r="I492" s="4" t="s">
        <v>24</v>
      </c>
      <c r="J492" s="4" t="str" cm="1">
        <f t="array" ref="J492">_xlfn.IFS(K492&lt;30,"Young Adult",K492&lt;=50,"Adult",K492&gt;50,"Senior")</f>
        <v>Young Adult</v>
      </c>
      <c r="K492" s="4">
        <v>20</v>
      </c>
      <c r="L492" s="4" t="s">
        <v>8</v>
      </c>
      <c r="M492" s="4">
        <v>4</v>
      </c>
      <c r="N492" s="19">
        <v>50</v>
      </c>
      <c r="O492" s="15">
        <f>M492 * N492</f>
        <v>200</v>
      </c>
      <c r="P492" s="15">
        <f>O492*$S$3</f>
        <v>3</v>
      </c>
      <c r="Q492" s="15">
        <f>O492*$S$4</f>
        <v>4</v>
      </c>
    </row>
    <row r="493" spans="1:17">
      <c r="A493" s="2">
        <v>904</v>
      </c>
      <c r="B493" s="4">
        <f>DAY(G493)</f>
        <v>4</v>
      </c>
      <c r="C493" s="4">
        <f>MONTH(G493)</f>
        <v>7</v>
      </c>
      <c r="D493" s="4">
        <f>YEAR(G493)</f>
        <v>2023</v>
      </c>
      <c r="E493" s="4" t="str">
        <f>TEXT(G493,"dddd")</f>
        <v>Tuesday</v>
      </c>
      <c r="F493" s="4" t="str">
        <f>TEXT(G493,"mmm")</f>
        <v>Jul</v>
      </c>
      <c r="G493" s="3">
        <v>45111</v>
      </c>
      <c r="H493" s="4" t="s">
        <v>526</v>
      </c>
      <c r="I493" s="4" t="s">
        <v>24</v>
      </c>
      <c r="J493" s="4" t="str" cm="1">
        <f t="array" ref="J493">_xlfn.IFS(K493&lt;30,"Young Adult",K493&lt;=50,"Adult",K493&gt;50,"Senior")</f>
        <v>Young Adult</v>
      </c>
      <c r="K493" s="4">
        <v>28</v>
      </c>
      <c r="L493" s="4" t="s">
        <v>8</v>
      </c>
      <c r="M493" s="4">
        <v>1</v>
      </c>
      <c r="N493" s="19">
        <v>500</v>
      </c>
      <c r="O493" s="15">
        <f>M493 * N493</f>
        <v>500</v>
      </c>
      <c r="P493" s="15">
        <f>O493*$S$3</f>
        <v>7.5</v>
      </c>
      <c r="Q493" s="15">
        <f>O493*$S$4</f>
        <v>10</v>
      </c>
    </row>
    <row r="494" spans="1:17">
      <c r="A494" s="2">
        <v>45</v>
      </c>
      <c r="B494" s="4">
        <f>DAY(G494)</f>
        <v>3</v>
      </c>
      <c r="C494" s="4">
        <f>MONTH(G494)</f>
        <v>7</v>
      </c>
      <c r="D494" s="4">
        <f>YEAR(G494)</f>
        <v>2023</v>
      </c>
      <c r="E494" s="4" t="str">
        <f>TEXT(G494,"dddd")</f>
        <v>Monday</v>
      </c>
      <c r="F494" s="4" t="str">
        <f>TEXT(G494,"mmm")</f>
        <v>Jul</v>
      </c>
      <c r="G494" s="3">
        <v>45110</v>
      </c>
      <c r="H494" s="4" t="s">
        <v>527</v>
      </c>
      <c r="I494" s="4" t="s">
        <v>29</v>
      </c>
      <c r="J494" s="4" t="str" cm="1">
        <f t="array" ref="J494">_xlfn.IFS(K494&lt;30,"Young Adult",K494&lt;=50,"Adult",K494&gt;50,"Senior")</f>
        <v>Senior</v>
      </c>
      <c r="K494" s="4">
        <v>55</v>
      </c>
      <c r="L494" s="4" t="s">
        <v>9</v>
      </c>
      <c r="M494" s="4">
        <v>1</v>
      </c>
      <c r="N494" s="19">
        <v>30</v>
      </c>
      <c r="O494" s="15">
        <f>M494 * N494</f>
        <v>30</v>
      </c>
      <c r="P494" s="15">
        <f>O494*$S$3</f>
        <v>0.44999999999999996</v>
      </c>
      <c r="Q494" s="15">
        <f>O494*$S$4</f>
        <v>0.6</v>
      </c>
    </row>
    <row r="495" spans="1:17">
      <c r="A495" s="2">
        <v>449</v>
      </c>
      <c r="B495" s="4">
        <f>DAY(G495)</f>
        <v>3</v>
      </c>
      <c r="C495" s="4">
        <f>MONTH(G495)</f>
        <v>7</v>
      </c>
      <c r="D495" s="4">
        <f>YEAR(G495)</f>
        <v>2023</v>
      </c>
      <c r="E495" s="4" t="str">
        <f>TEXT(G495,"dddd")</f>
        <v>Monday</v>
      </c>
      <c r="F495" s="4" t="str">
        <f>TEXT(G495,"mmm")</f>
        <v>Jul</v>
      </c>
      <c r="G495" s="3">
        <v>45110</v>
      </c>
      <c r="H495" s="4" t="s">
        <v>528</v>
      </c>
      <c r="I495" s="4" t="s">
        <v>24</v>
      </c>
      <c r="J495" s="4" t="str" cm="1">
        <f t="array" ref="J495">_xlfn.IFS(K495&lt;30,"Young Adult",K495&lt;=50,"Adult",K495&gt;50,"Senior")</f>
        <v>Young Adult</v>
      </c>
      <c r="K495" s="4">
        <v>25</v>
      </c>
      <c r="L495" s="4" t="s">
        <v>9</v>
      </c>
      <c r="M495" s="4">
        <v>4</v>
      </c>
      <c r="N495" s="19">
        <v>50</v>
      </c>
      <c r="O495" s="15">
        <f>M495 * N495</f>
        <v>200</v>
      </c>
      <c r="P495" s="15">
        <f>O495*$S$3</f>
        <v>3</v>
      </c>
      <c r="Q495" s="15">
        <f>O495*$S$4</f>
        <v>4</v>
      </c>
    </row>
    <row r="496" spans="1:17">
      <c r="A496" s="2">
        <v>78</v>
      </c>
      <c r="B496" s="4">
        <f>DAY(G496)</f>
        <v>1</v>
      </c>
      <c r="C496" s="4">
        <f>MONTH(G496)</f>
        <v>7</v>
      </c>
      <c r="D496" s="4">
        <f>YEAR(G496)</f>
        <v>2023</v>
      </c>
      <c r="E496" s="4" t="str">
        <f>TEXT(G496,"dddd")</f>
        <v>Saturday</v>
      </c>
      <c r="F496" s="4" t="str">
        <f>TEXT(G496,"mmm")</f>
        <v>Jul</v>
      </c>
      <c r="G496" s="3">
        <v>45108</v>
      </c>
      <c r="H496" s="4" t="s">
        <v>529</v>
      </c>
      <c r="I496" s="4" t="s">
        <v>29</v>
      </c>
      <c r="J496" s="4" t="str" cm="1">
        <f t="array" ref="J496">_xlfn.IFS(K496&lt;30,"Young Adult",K496&lt;=50,"Adult",K496&gt;50,"Senior")</f>
        <v>Adult</v>
      </c>
      <c r="K496" s="4">
        <v>47</v>
      </c>
      <c r="L496" s="4" t="s">
        <v>8</v>
      </c>
      <c r="M496" s="4">
        <v>3</v>
      </c>
      <c r="N496" s="19">
        <v>500</v>
      </c>
      <c r="O496" s="15">
        <f>M496 * N496</f>
        <v>1500</v>
      </c>
      <c r="P496" s="15">
        <f>O496*$S$3</f>
        <v>22.5</v>
      </c>
      <c r="Q496" s="15">
        <f>O496*$S$4</f>
        <v>30</v>
      </c>
    </row>
    <row r="497" spans="1:17">
      <c r="A497" s="2">
        <v>455</v>
      </c>
      <c r="B497" s="4">
        <f>DAY(G497)</f>
        <v>1</v>
      </c>
      <c r="C497" s="4">
        <f>MONTH(G497)</f>
        <v>7</v>
      </c>
      <c r="D497" s="4">
        <f>YEAR(G497)</f>
        <v>2023</v>
      </c>
      <c r="E497" s="4" t="str">
        <f>TEXT(G497,"dddd")</f>
        <v>Saturday</v>
      </c>
      <c r="F497" s="4" t="str">
        <f>TEXT(G497,"mmm")</f>
        <v>Jul</v>
      </c>
      <c r="G497" s="3">
        <v>45108</v>
      </c>
      <c r="H497" s="4" t="s">
        <v>530</v>
      </c>
      <c r="I497" s="4" t="s">
        <v>24</v>
      </c>
      <c r="J497" s="4" t="str" cm="1">
        <f t="array" ref="J497">_xlfn.IFS(K497&lt;30,"Young Adult",K497&lt;=50,"Adult",K497&gt;50,"Senior")</f>
        <v>Adult</v>
      </c>
      <c r="K497" s="4">
        <v>31</v>
      </c>
      <c r="L497" s="4" t="s">
        <v>9</v>
      </c>
      <c r="M497" s="4">
        <v>4</v>
      </c>
      <c r="N497" s="19">
        <v>25</v>
      </c>
      <c r="O497" s="15">
        <f>M497 * N497</f>
        <v>100</v>
      </c>
      <c r="P497" s="15">
        <f>O497*$S$3</f>
        <v>1.5</v>
      </c>
      <c r="Q497" s="15">
        <f>O497*$S$4</f>
        <v>2</v>
      </c>
    </row>
    <row r="498" spans="1:17">
      <c r="A498" s="2">
        <v>260</v>
      </c>
      <c r="B498" s="4">
        <f>DAY(G498)</f>
        <v>1</v>
      </c>
      <c r="C498" s="4">
        <f>MONTH(G498)</f>
        <v>7</v>
      </c>
      <c r="D498" s="4">
        <f>YEAR(G498)</f>
        <v>2023</v>
      </c>
      <c r="E498" s="4" t="str">
        <f>TEXT(G498,"dddd")</f>
        <v>Saturday</v>
      </c>
      <c r="F498" s="4" t="str">
        <f>TEXT(G498,"mmm")</f>
        <v>Jul</v>
      </c>
      <c r="G498" s="3">
        <v>45108</v>
      </c>
      <c r="H498" s="4" t="s">
        <v>531</v>
      </c>
      <c r="I498" s="4" t="s">
        <v>24</v>
      </c>
      <c r="J498" s="4" t="str" cm="1">
        <f t="array" ref="J498">_xlfn.IFS(K498&lt;30,"Young Adult",K498&lt;=50,"Adult",K498&gt;50,"Senior")</f>
        <v>Young Adult</v>
      </c>
      <c r="K498" s="4">
        <v>28</v>
      </c>
      <c r="L498" s="4" t="s">
        <v>7</v>
      </c>
      <c r="M498" s="4">
        <v>2</v>
      </c>
      <c r="N498" s="19">
        <v>30</v>
      </c>
      <c r="O498" s="15">
        <f>M498 * N498</f>
        <v>60</v>
      </c>
      <c r="P498" s="15">
        <f>O498*$S$3</f>
        <v>0.89999999999999991</v>
      </c>
      <c r="Q498" s="15">
        <f>O498*$S$4</f>
        <v>1.2</v>
      </c>
    </row>
    <row r="499" spans="1:17">
      <c r="A499" s="2">
        <v>837</v>
      </c>
      <c r="B499" s="4">
        <f>DAY(G499)</f>
        <v>1</v>
      </c>
      <c r="C499" s="4">
        <f>MONTH(G499)</f>
        <v>7</v>
      </c>
      <c r="D499" s="4">
        <f>YEAR(G499)</f>
        <v>2023</v>
      </c>
      <c r="E499" s="4" t="str">
        <f>TEXT(G499,"dddd")</f>
        <v>Saturday</v>
      </c>
      <c r="F499" s="4" t="str">
        <f>TEXT(G499,"mmm")</f>
        <v>Jul</v>
      </c>
      <c r="G499" s="3">
        <v>45108</v>
      </c>
      <c r="H499" s="4" t="s">
        <v>532</v>
      </c>
      <c r="I499" s="4" t="s">
        <v>24</v>
      </c>
      <c r="J499" s="4" t="str" cm="1">
        <f t="array" ref="J499">_xlfn.IFS(K499&lt;30,"Young Adult",K499&lt;=50,"Adult",K499&gt;50,"Senior")</f>
        <v>Young Adult</v>
      </c>
      <c r="K499" s="4">
        <v>18</v>
      </c>
      <c r="L499" s="4" t="s">
        <v>7</v>
      </c>
      <c r="M499" s="4">
        <v>3</v>
      </c>
      <c r="N499" s="19">
        <v>30</v>
      </c>
      <c r="O499" s="15">
        <f>M499 * N499</f>
        <v>90</v>
      </c>
      <c r="P499" s="15">
        <f>O499*$S$3</f>
        <v>1.3499999999999999</v>
      </c>
      <c r="Q499" s="15">
        <f>O499*$S$4</f>
        <v>1.8</v>
      </c>
    </row>
    <row r="500" spans="1:17">
      <c r="A500" s="2">
        <v>684</v>
      </c>
      <c r="B500" s="4">
        <f>DAY(G500)</f>
        <v>30</v>
      </c>
      <c r="C500" s="4">
        <f>MONTH(G500)</f>
        <v>6</v>
      </c>
      <c r="D500" s="4">
        <f>YEAR(G500)</f>
        <v>2023</v>
      </c>
      <c r="E500" s="4" t="str">
        <f>TEXT(G500,"dddd")</f>
        <v>Friday</v>
      </c>
      <c r="F500" s="4" t="str">
        <f>TEXT(G500,"mmm")</f>
        <v>Jun</v>
      </c>
      <c r="G500" s="3">
        <v>45107</v>
      </c>
      <c r="H500" s="4" t="s">
        <v>533</v>
      </c>
      <c r="I500" s="4" t="s">
        <v>29</v>
      </c>
      <c r="J500" s="4" t="str" cm="1">
        <f t="array" ref="J500">_xlfn.IFS(K500&lt;30,"Young Adult",K500&lt;=50,"Adult",K500&gt;50,"Senior")</f>
        <v>Young Adult</v>
      </c>
      <c r="K500" s="4">
        <v>28</v>
      </c>
      <c r="L500" s="4" t="s">
        <v>8</v>
      </c>
      <c r="M500" s="4">
        <v>2</v>
      </c>
      <c r="N500" s="19">
        <v>500</v>
      </c>
      <c r="O500" s="15">
        <f>M500 * N500</f>
        <v>1000</v>
      </c>
      <c r="P500" s="15">
        <f>O500*$S$3</f>
        <v>15</v>
      </c>
      <c r="Q500" s="15">
        <f>O500*$S$4</f>
        <v>20</v>
      </c>
    </row>
    <row r="501" spans="1:17">
      <c r="A501" s="2">
        <v>878</v>
      </c>
      <c r="B501" s="4">
        <f>DAY(G501)</f>
        <v>30</v>
      </c>
      <c r="C501" s="4">
        <f>MONTH(G501)</f>
        <v>6</v>
      </c>
      <c r="D501" s="4">
        <f>YEAR(G501)</f>
        <v>2023</v>
      </c>
      <c r="E501" s="4" t="str">
        <f>TEXT(G501,"dddd")</f>
        <v>Friday</v>
      </c>
      <c r="F501" s="4" t="str">
        <f>TEXT(G501,"mmm")</f>
        <v>Jun</v>
      </c>
      <c r="G501" s="3">
        <v>45107</v>
      </c>
      <c r="H501" s="4" t="s">
        <v>534</v>
      </c>
      <c r="I501" s="4" t="s">
        <v>29</v>
      </c>
      <c r="J501" s="4" t="str" cm="1">
        <f t="array" ref="J501">_xlfn.IFS(K501&lt;30,"Young Adult",K501&lt;=50,"Adult",K501&gt;50,"Senior")</f>
        <v>Young Adult</v>
      </c>
      <c r="K501" s="4">
        <v>20</v>
      </c>
      <c r="L501" s="4" t="s">
        <v>8</v>
      </c>
      <c r="M501" s="4">
        <v>1</v>
      </c>
      <c r="N501" s="19">
        <v>30</v>
      </c>
      <c r="O501" s="15">
        <f>M501 * N501</f>
        <v>30</v>
      </c>
      <c r="P501" s="15">
        <f>O501*$S$3</f>
        <v>0.44999999999999996</v>
      </c>
      <c r="Q501" s="15">
        <f>O501*$S$4</f>
        <v>0.6</v>
      </c>
    </row>
    <row r="502" spans="1:17">
      <c r="A502" s="2">
        <v>492</v>
      </c>
      <c r="B502" s="4">
        <f>DAY(G502)</f>
        <v>29</v>
      </c>
      <c r="C502" s="4">
        <f>MONTH(G502)</f>
        <v>6</v>
      </c>
      <c r="D502" s="4">
        <f>YEAR(G502)</f>
        <v>2023</v>
      </c>
      <c r="E502" s="4" t="str">
        <f>TEXT(G502,"dddd")</f>
        <v>Thursday</v>
      </c>
      <c r="F502" s="4" t="str">
        <f>TEXT(G502,"mmm")</f>
        <v>Jun</v>
      </c>
      <c r="G502" s="3">
        <v>45106</v>
      </c>
      <c r="H502" s="4" t="s">
        <v>535</v>
      </c>
      <c r="I502" s="4" t="s">
        <v>24</v>
      </c>
      <c r="J502" s="4" t="str" cm="1">
        <f t="array" ref="J502">_xlfn.IFS(K502&lt;30,"Young Adult",K502&lt;=50,"Adult",K502&gt;50,"Senior")</f>
        <v>Senior</v>
      </c>
      <c r="K502" s="4">
        <v>61</v>
      </c>
      <c r="L502" s="4" t="s">
        <v>7</v>
      </c>
      <c r="M502" s="4">
        <v>4</v>
      </c>
      <c r="N502" s="19">
        <v>25</v>
      </c>
      <c r="O502" s="15">
        <f>M502 * N502</f>
        <v>100</v>
      </c>
      <c r="P502" s="15">
        <f>O502*$S$3</f>
        <v>1.5</v>
      </c>
      <c r="Q502" s="15">
        <f>O502*$S$4</f>
        <v>2</v>
      </c>
    </row>
    <row r="503" spans="1:17">
      <c r="A503" s="2">
        <v>480</v>
      </c>
      <c r="B503" s="4">
        <f>DAY(G503)</f>
        <v>29</v>
      </c>
      <c r="C503" s="4">
        <f>MONTH(G503)</f>
        <v>6</v>
      </c>
      <c r="D503" s="4">
        <f>YEAR(G503)</f>
        <v>2023</v>
      </c>
      <c r="E503" s="4" t="str">
        <f>TEXT(G503,"dddd")</f>
        <v>Thursday</v>
      </c>
      <c r="F503" s="4" t="str">
        <f>TEXT(G503,"mmm")</f>
        <v>Jun</v>
      </c>
      <c r="G503" s="3">
        <v>45106</v>
      </c>
      <c r="H503" s="4" t="s">
        <v>536</v>
      </c>
      <c r="I503" s="4" t="s">
        <v>29</v>
      </c>
      <c r="J503" s="4" t="str" cm="1">
        <f t="array" ref="J503">_xlfn.IFS(K503&lt;30,"Young Adult",K503&lt;=50,"Adult",K503&gt;50,"Senior")</f>
        <v>Adult</v>
      </c>
      <c r="K503" s="4">
        <v>42</v>
      </c>
      <c r="L503" s="4" t="s">
        <v>7</v>
      </c>
      <c r="M503" s="4">
        <v>4</v>
      </c>
      <c r="N503" s="19">
        <v>500</v>
      </c>
      <c r="O503" s="15">
        <f>M503 * N503</f>
        <v>2000</v>
      </c>
      <c r="P503" s="15">
        <f>O503*$S$3</f>
        <v>30</v>
      </c>
      <c r="Q503" s="15">
        <f>O503*$S$4</f>
        <v>40</v>
      </c>
    </row>
    <row r="504" spans="1:17">
      <c r="A504" s="2">
        <v>737</v>
      </c>
      <c r="B504" s="4">
        <f>DAY(G504)</f>
        <v>29</v>
      </c>
      <c r="C504" s="4">
        <f>MONTH(G504)</f>
        <v>6</v>
      </c>
      <c r="D504" s="4">
        <f>YEAR(G504)</f>
        <v>2023</v>
      </c>
      <c r="E504" s="4" t="str">
        <f>TEXT(G504,"dddd")</f>
        <v>Thursday</v>
      </c>
      <c r="F504" s="4" t="str">
        <f>TEXT(G504,"mmm")</f>
        <v>Jun</v>
      </c>
      <c r="G504" s="3">
        <v>45106</v>
      </c>
      <c r="H504" s="4" t="s">
        <v>537</v>
      </c>
      <c r="I504" s="4" t="s">
        <v>29</v>
      </c>
      <c r="J504" s="4" t="str" cm="1">
        <f t="array" ref="J504">_xlfn.IFS(K504&lt;30,"Young Adult",K504&lt;=50,"Adult",K504&gt;50,"Senior")</f>
        <v>Adult</v>
      </c>
      <c r="K504" s="4">
        <v>33</v>
      </c>
      <c r="L504" s="4" t="s">
        <v>8</v>
      </c>
      <c r="M504" s="4">
        <v>1</v>
      </c>
      <c r="N504" s="19">
        <v>50</v>
      </c>
      <c r="O504" s="15">
        <f>M504 * N504</f>
        <v>50</v>
      </c>
      <c r="P504" s="15">
        <f>O504*$S$3</f>
        <v>0.75</v>
      </c>
      <c r="Q504" s="15">
        <f>O504*$S$4</f>
        <v>1</v>
      </c>
    </row>
    <row r="505" spans="1:17">
      <c r="A505" s="2">
        <v>378</v>
      </c>
      <c r="B505" s="4">
        <f>DAY(G505)</f>
        <v>28</v>
      </c>
      <c r="C505" s="4">
        <f>MONTH(G505)</f>
        <v>6</v>
      </c>
      <c r="D505" s="4">
        <f>YEAR(G505)</f>
        <v>2023</v>
      </c>
      <c r="E505" s="4" t="str">
        <f>TEXT(G505,"dddd")</f>
        <v>Wednesday</v>
      </c>
      <c r="F505" s="4" t="str">
        <f>TEXT(G505,"mmm")</f>
        <v>Jun</v>
      </c>
      <c r="G505" s="3">
        <v>45105</v>
      </c>
      <c r="H505" s="4" t="s">
        <v>538</v>
      </c>
      <c r="I505" s="4" t="s">
        <v>24</v>
      </c>
      <c r="J505" s="4" t="str" cm="1">
        <f t="array" ref="J505">_xlfn.IFS(K505&lt;30,"Young Adult",K505&lt;=50,"Adult",K505&gt;50,"Senior")</f>
        <v>Adult</v>
      </c>
      <c r="K505" s="4">
        <v>50</v>
      </c>
      <c r="L505" s="4" t="s">
        <v>7</v>
      </c>
      <c r="M505" s="4">
        <v>1</v>
      </c>
      <c r="N505" s="19">
        <v>300</v>
      </c>
      <c r="O505" s="15">
        <f>M505 * N505</f>
        <v>300</v>
      </c>
      <c r="P505" s="15">
        <f>O505*$S$3</f>
        <v>4.5</v>
      </c>
      <c r="Q505" s="15">
        <f>O505*$S$4</f>
        <v>6</v>
      </c>
    </row>
    <row r="506" spans="1:17">
      <c r="A506" s="2">
        <v>788</v>
      </c>
      <c r="B506" s="4">
        <f>DAY(G506)</f>
        <v>27</v>
      </c>
      <c r="C506" s="4">
        <f>MONTH(G506)</f>
        <v>6</v>
      </c>
      <c r="D506" s="4">
        <f>YEAR(G506)</f>
        <v>2023</v>
      </c>
      <c r="E506" s="4" t="str">
        <f>TEXT(G506,"dddd")</f>
        <v>Tuesday</v>
      </c>
      <c r="F506" s="4" t="str">
        <f>TEXT(G506,"mmm")</f>
        <v>Jun</v>
      </c>
      <c r="G506" s="3">
        <v>45104</v>
      </c>
      <c r="H506" s="4" t="s">
        <v>539</v>
      </c>
      <c r="I506" s="4" t="s">
        <v>29</v>
      </c>
      <c r="J506" s="4" t="str" cm="1">
        <f t="array" ref="J506">_xlfn.IFS(K506&lt;30,"Young Adult",K506&lt;=50,"Adult",K506&gt;50,"Senior")</f>
        <v>Senior</v>
      </c>
      <c r="K506" s="4">
        <v>52</v>
      </c>
      <c r="L506" s="4" t="s">
        <v>7</v>
      </c>
      <c r="M506" s="4">
        <v>3</v>
      </c>
      <c r="N506" s="19">
        <v>300</v>
      </c>
      <c r="O506" s="15">
        <f>M506 * N506</f>
        <v>900</v>
      </c>
      <c r="P506" s="15">
        <f>O506*$S$3</f>
        <v>13.5</v>
      </c>
      <c r="Q506" s="15">
        <f>O506*$S$4</f>
        <v>18</v>
      </c>
    </row>
    <row r="507" spans="1:17">
      <c r="A507" s="2">
        <v>874</v>
      </c>
      <c r="B507" s="4">
        <f>DAY(G507)</f>
        <v>26</v>
      </c>
      <c r="C507" s="4">
        <f>MONTH(G507)</f>
        <v>6</v>
      </c>
      <c r="D507" s="4">
        <f>YEAR(G507)</f>
        <v>2023</v>
      </c>
      <c r="E507" s="4" t="str">
        <f>TEXT(G507,"dddd")</f>
        <v>Monday</v>
      </c>
      <c r="F507" s="4" t="str">
        <f>TEXT(G507,"mmm")</f>
        <v>Jun</v>
      </c>
      <c r="G507" s="3">
        <v>45103</v>
      </c>
      <c r="H507" s="4" t="s">
        <v>540</v>
      </c>
      <c r="I507" s="4" t="s">
        <v>24</v>
      </c>
      <c r="J507" s="4" t="str" cm="1">
        <f t="array" ref="J507">_xlfn.IFS(K507&lt;30,"Young Adult",K507&lt;=50,"Adult",K507&gt;50,"Senior")</f>
        <v>Senior</v>
      </c>
      <c r="K507" s="4">
        <v>60</v>
      </c>
      <c r="L507" s="4" t="s">
        <v>7</v>
      </c>
      <c r="M507" s="4">
        <v>1</v>
      </c>
      <c r="N507" s="19">
        <v>30</v>
      </c>
      <c r="O507" s="15">
        <f>M507 * N507</f>
        <v>30</v>
      </c>
      <c r="P507" s="15">
        <f>O507*$S$3</f>
        <v>0.44999999999999996</v>
      </c>
      <c r="Q507" s="15">
        <f>O507*$S$4</f>
        <v>0.6</v>
      </c>
    </row>
    <row r="508" spans="1:17">
      <c r="A508" s="2">
        <v>509</v>
      </c>
      <c r="B508" s="4">
        <f>DAY(G508)</f>
        <v>26</v>
      </c>
      <c r="C508" s="4">
        <f>MONTH(G508)</f>
        <v>6</v>
      </c>
      <c r="D508" s="4">
        <f>YEAR(G508)</f>
        <v>2023</v>
      </c>
      <c r="E508" s="4" t="str">
        <f>TEXT(G508,"dddd")</f>
        <v>Monday</v>
      </c>
      <c r="F508" s="4" t="str">
        <f>TEXT(G508,"mmm")</f>
        <v>Jun</v>
      </c>
      <c r="G508" s="3">
        <v>45103</v>
      </c>
      <c r="H508" s="4" t="s">
        <v>541</v>
      </c>
      <c r="I508" s="4" t="s">
        <v>29</v>
      </c>
      <c r="J508" s="4" t="str" cm="1">
        <f t="array" ref="J508">_xlfn.IFS(K508&lt;30,"Young Adult",K508&lt;=50,"Adult",K508&gt;50,"Senior")</f>
        <v>Adult</v>
      </c>
      <c r="K508" s="4">
        <v>37</v>
      </c>
      <c r="L508" s="4" t="s">
        <v>9</v>
      </c>
      <c r="M508" s="4">
        <v>3</v>
      </c>
      <c r="N508" s="19">
        <v>300</v>
      </c>
      <c r="O508" s="15">
        <f>M508 * N508</f>
        <v>900</v>
      </c>
      <c r="P508" s="15">
        <f>O508*$S$3</f>
        <v>13.5</v>
      </c>
      <c r="Q508" s="15">
        <f>O508*$S$4</f>
        <v>18</v>
      </c>
    </row>
    <row r="509" spans="1:17">
      <c r="A509" s="2">
        <v>46</v>
      </c>
      <c r="B509" s="4">
        <f>DAY(G509)</f>
        <v>26</v>
      </c>
      <c r="C509" s="4">
        <f>MONTH(G509)</f>
        <v>6</v>
      </c>
      <c r="D509" s="4">
        <f>YEAR(G509)</f>
        <v>2023</v>
      </c>
      <c r="E509" s="4" t="str">
        <f>TEXT(G509,"dddd")</f>
        <v>Monday</v>
      </c>
      <c r="F509" s="4" t="str">
        <f>TEXT(G509,"mmm")</f>
        <v>Jun</v>
      </c>
      <c r="G509" s="3">
        <v>45103</v>
      </c>
      <c r="H509" s="4" t="s">
        <v>542</v>
      </c>
      <c r="I509" s="4" t="s">
        <v>29</v>
      </c>
      <c r="J509" s="4" t="str" cm="1">
        <f t="array" ref="J509">_xlfn.IFS(K509&lt;30,"Young Adult",K509&lt;=50,"Adult",K509&gt;50,"Senior")</f>
        <v>Young Adult</v>
      </c>
      <c r="K509" s="4">
        <v>20</v>
      </c>
      <c r="L509" s="4" t="s">
        <v>9</v>
      </c>
      <c r="M509" s="4">
        <v>4</v>
      </c>
      <c r="N509" s="19">
        <v>300</v>
      </c>
      <c r="O509" s="15">
        <f>M509 * N509</f>
        <v>1200</v>
      </c>
      <c r="P509" s="15">
        <f>O509*$S$3</f>
        <v>18</v>
      </c>
      <c r="Q509" s="15">
        <f>O509*$S$4</f>
        <v>24</v>
      </c>
    </row>
    <row r="510" spans="1:17">
      <c r="A510" s="2">
        <v>407</v>
      </c>
      <c r="B510" s="4">
        <f>DAY(G510)</f>
        <v>25</v>
      </c>
      <c r="C510" s="4">
        <f>MONTH(G510)</f>
        <v>6</v>
      </c>
      <c r="D510" s="4">
        <f>YEAR(G510)</f>
        <v>2023</v>
      </c>
      <c r="E510" s="4" t="str">
        <f>TEXT(G510,"dddd")</f>
        <v>Sunday</v>
      </c>
      <c r="F510" s="4" t="str">
        <f>TEXT(G510,"mmm")</f>
        <v>Jun</v>
      </c>
      <c r="G510" s="3">
        <v>45102</v>
      </c>
      <c r="H510" s="4" t="s">
        <v>543</v>
      </c>
      <c r="I510" s="4" t="s">
        <v>29</v>
      </c>
      <c r="J510" s="4" t="str" cm="1">
        <f t="array" ref="J510">_xlfn.IFS(K510&lt;30,"Young Adult",K510&lt;=50,"Adult",K510&gt;50,"Senior")</f>
        <v>Adult</v>
      </c>
      <c r="K510" s="4">
        <v>46</v>
      </c>
      <c r="L510" s="4" t="s">
        <v>9</v>
      </c>
      <c r="M510" s="4">
        <v>3</v>
      </c>
      <c r="N510" s="19">
        <v>300</v>
      </c>
      <c r="O510" s="15">
        <f>M510 * N510</f>
        <v>900</v>
      </c>
      <c r="P510" s="15">
        <f>O510*$S$3</f>
        <v>13.5</v>
      </c>
      <c r="Q510" s="15">
        <f>O510*$S$4</f>
        <v>18</v>
      </c>
    </row>
    <row r="511" spans="1:17">
      <c r="A511" s="2">
        <v>157</v>
      </c>
      <c r="B511" s="4">
        <f>DAY(G511)</f>
        <v>24</v>
      </c>
      <c r="C511" s="4">
        <f>MONTH(G511)</f>
        <v>6</v>
      </c>
      <c r="D511" s="4">
        <f>YEAR(G511)</f>
        <v>2023</v>
      </c>
      <c r="E511" s="4" t="str">
        <f>TEXT(G511,"dddd")</f>
        <v>Saturday</v>
      </c>
      <c r="F511" s="4" t="str">
        <f>TEXT(G511,"mmm")</f>
        <v>Jun</v>
      </c>
      <c r="G511" s="3">
        <v>45101</v>
      </c>
      <c r="H511" s="4" t="s">
        <v>544</v>
      </c>
      <c r="I511" s="4" t="s">
        <v>24</v>
      </c>
      <c r="J511" s="4" t="str" cm="1">
        <f t="array" ref="J511">_xlfn.IFS(K511&lt;30,"Young Adult",K511&lt;=50,"Adult",K511&gt;50,"Senior")</f>
        <v>Senior</v>
      </c>
      <c r="K511" s="4">
        <v>62</v>
      </c>
      <c r="L511" s="4" t="s">
        <v>9</v>
      </c>
      <c r="M511" s="4">
        <v>4</v>
      </c>
      <c r="N511" s="19">
        <v>500</v>
      </c>
      <c r="O511" s="15">
        <f>M511 * N511</f>
        <v>2000</v>
      </c>
      <c r="P511" s="15">
        <f>O511*$S$3</f>
        <v>30</v>
      </c>
      <c r="Q511" s="15">
        <f>O511*$S$4</f>
        <v>40</v>
      </c>
    </row>
    <row r="512" spans="1:17">
      <c r="A512" s="2">
        <v>36</v>
      </c>
      <c r="B512" s="4">
        <f>DAY(G512)</f>
        <v>24</v>
      </c>
      <c r="C512" s="4">
        <f>MONTH(G512)</f>
        <v>6</v>
      </c>
      <c r="D512" s="4">
        <f>YEAR(G512)</f>
        <v>2023</v>
      </c>
      <c r="E512" s="4" t="str">
        <f>TEXT(G512,"dddd")</f>
        <v>Saturday</v>
      </c>
      <c r="F512" s="4" t="str">
        <f>TEXT(G512,"mmm")</f>
        <v>Jun</v>
      </c>
      <c r="G512" s="3">
        <v>45101</v>
      </c>
      <c r="H512" s="4" t="s">
        <v>545</v>
      </c>
      <c r="I512" s="4" t="s">
        <v>24</v>
      </c>
      <c r="J512" s="4" t="str" cm="1">
        <f t="array" ref="J512">_xlfn.IFS(K512&lt;30,"Young Adult",K512&lt;=50,"Adult",K512&gt;50,"Senior")</f>
        <v>Senior</v>
      </c>
      <c r="K512" s="4">
        <v>52</v>
      </c>
      <c r="L512" s="4" t="s">
        <v>7</v>
      </c>
      <c r="M512" s="4">
        <v>3</v>
      </c>
      <c r="N512" s="19">
        <v>300</v>
      </c>
      <c r="O512" s="15">
        <f>M512 * N512</f>
        <v>900</v>
      </c>
      <c r="P512" s="15">
        <f>O512*$S$3</f>
        <v>13.5</v>
      </c>
      <c r="Q512" s="15">
        <f>O512*$S$4</f>
        <v>18</v>
      </c>
    </row>
    <row r="513" spans="1:17">
      <c r="A513" s="2">
        <v>796</v>
      </c>
      <c r="B513" s="4">
        <f>DAY(G513)</f>
        <v>24</v>
      </c>
      <c r="C513" s="4">
        <f>MONTH(G513)</f>
        <v>6</v>
      </c>
      <c r="D513" s="4">
        <f>YEAR(G513)</f>
        <v>2023</v>
      </c>
      <c r="E513" s="4" t="str">
        <f>TEXT(G513,"dddd")</f>
        <v>Saturday</v>
      </c>
      <c r="F513" s="4" t="str">
        <f>TEXT(G513,"mmm")</f>
        <v>Jun</v>
      </c>
      <c r="G513" s="3">
        <v>45101</v>
      </c>
      <c r="H513" s="4" t="s">
        <v>546</v>
      </c>
      <c r="I513" s="4" t="s">
        <v>24</v>
      </c>
      <c r="J513" s="4" t="str" cm="1">
        <f t="array" ref="J513">_xlfn.IFS(K513&lt;30,"Young Adult",K513&lt;=50,"Adult",K513&gt;50,"Senior")</f>
        <v>Adult</v>
      </c>
      <c r="K513" s="4">
        <v>43</v>
      </c>
      <c r="L513" s="4" t="s">
        <v>7</v>
      </c>
      <c r="M513" s="4">
        <v>4</v>
      </c>
      <c r="N513" s="19">
        <v>30</v>
      </c>
      <c r="O513" s="15">
        <f>M513 * N513</f>
        <v>120</v>
      </c>
      <c r="P513" s="15">
        <f>O513*$S$3</f>
        <v>1.7999999999999998</v>
      </c>
      <c r="Q513" s="15">
        <f>O513*$S$4</f>
        <v>2.4</v>
      </c>
    </row>
    <row r="514" spans="1:17">
      <c r="A514" s="2">
        <v>927</v>
      </c>
      <c r="B514" s="4">
        <f>DAY(G514)</f>
        <v>24</v>
      </c>
      <c r="C514" s="4">
        <f>MONTH(G514)</f>
        <v>6</v>
      </c>
      <c r="D514" s="4">
        <f>YEAR(G514)</f>
        <v>2023</v>
      </c>
      <c r="E514" s="4" t="str">
        <f>TEXT(G514,"dddd")</f>
        <v>Saturday</v>
      </c>
      <c r="F514" s="4" t="str">
        <f>TEXT(G514,"mmm")</f>
        <v>Jun</v>
      </c>
      <c r="G514" s="3">
        <v>45101</v>
      </c>
      <c r="H514" s="4" t="s">
        <v>547</v>
      </c>
      <c r="I514" s="4" t="s">
        <v>24</v>
      </c>
      <c r="J514" s="4" t="str" cm="1">
        <f t="array" ref="J514">_xlfn.IFS(K514&lt;30,"Young Adult",K514&lt;=50,"Adult",K514&gt;50,"Senior")</f>
        <v>Adult</v>
      </c>
      <c r="K514" s="4">
        <v>43</v>
      </c>
      <c r="L514" s="4" t="s">
        <v>9</v>
      </c>
      <c r="M514" s="4">
        <v>4</v>
      </c>
      <c r="N514" s="19">
        <v>500</v>
      </c>
      <c r="O514" s="15">
        <f>M514 * N514</f>
        <v>2000</v>
      </c>
      <c r="P514" s="15">
        <f>O514*$S$3</f>
        <v>30</v>
      </c>
      <c r="Q514" s="15">
        <f>O514*$S$4</f>
        <v>40</v>
      </c>
    </row>
    <row r="515" spans="1:17">
      <c r="A515" s="2">
        <v>839</v>
      </c>
      <c r="B515" s="4">
        <f>DAY(G515)</f>
        <v>24</v>
      </c>
      <c r="C515" s="4">
        <f>MONTH(G515)</f>
        <v>6</v>
      </c>
      <c r="D515" s="4">
        <f>YEAR(G515)</f>
        <v>2023</v>
      </c>
      <c r="E515" s="4" t="str">
        <f>TEXT(G515,"dddd")</f>
        <v>Saturday</v>
      </c>
      <c r="F515" s="4" t="str">
        <f>TEXT(G515,"mmm")</f>
        <v>Jun</v>
      </c>
      <c r="G515" s="3">
        <v>45101</v>
      </c>
      <c r="H515" s="4" t="s">
        <v>548</v>
      </c>
      <c r="I515" s="4" t="s">
        <v>29</v>
      </c>
      <c r="J515" s="4" t="str" cm="1">
        <f t="array" ref="J515">_xlfn.IFS(K515&lt;30,"Young Adult",K515&lt;=50,"Adult",K515&gt;50,"Senior")</f>
        <v>Young Adult</v>
      </c>
      <c r="K515" s="4">
        <v>20</v>
      </c>
      <c r="L515" s="4" t="s">
        <v>9</v>
      </c>
      <c r="M515" s="4">
        <v>4</v>
      </c>
      <c r="N515" s="19">
        <v>300</v>
      </c>
      <c r="O515" s="15">
        <f>M515 * N515</f>
        <v>1200</v>
      </c>
      <c r="P515" s="15">
        <f>O515*$S$3</f>
        <v>18</v>
      </c>
      <c r="Q515" s="15">
        <f>O515*$S$4</f>
        <v>24</v>
      </c>
    </row>
    <row r="516" spans="1:17">
      <c r="A516" s="2">
        <v>271</v>
      </c>
      <c r="B516" s="4">
        <f>DAY(G516)</f>
        <v>23</v>
      </c>
      <c r="C516" s="4">
        <f>MONTH(G516)</f>
        <v>6</v>
      </c>
      <c r="D516" s="4">
        <f>YEAR(G516)</f>
        <v>2023</v>
      </c>
      <c r="E516" s="4" t="str">
        <f>TEXT(G516,"dddd")</f>
        <v>Friday</v>
      </c>
      <c r="F516" s="4" t="str">
        <f>TEXT(G516,"mmm")</f>
        <v>Jun</v>
      </c>
      <c r="G516" s="3">
        <v>45100</v>
      </c>
      <c r="H516" s="4" t="s">
        <v>549</v>
      </c>
      <c r="I516" s="4" t="s">
        <v>29</v>
      </c>
      <c r="J516" s="4" t="str" cm="1">
        <f t="array" ref="J516">_xlfn.IFS(K516&lt;30,"Young Adult",K516&lt;=50,"Adult",K516&gt;50,"Senior")</f>
        <v>Senior</v>
      </c>
      <c r="K516" s="4">
        <v>62</v>
      </c>
      <c r="L516" s="4" t="s">
        <v>7</v>
      </c>
      <c r="M516" s="4">
        <v>4</v>
      </c>
      <c r="N516" s="19">
        <v>30</v>
      </c>
      <c r="O516" s="15">
        <f>M516 * N516</f>
        <v>120</v>
      </c>
      <c r="P516" s="15">
        <f>O516*$S$3</f>
        <v>1.7999999999999998</v>
      </c>
      <c r="Q516" s="15">
        <f>O516*$S$4</f>
        <v>2.4</v>
      </c>
    </row>
    <row r="517" spans="1:17">
      <c r="A517" s="2">
        <v>224</v>
      </c>
      <c r="B517" s="4">
        <f>DAY(G517)</f>
        <v>23</v>
      </c>
      <c r="C517" s="4">
        <f>MONTH(G517)</f>
        <v>6</v>
      </c>
      <c r="D517" s="4">
        <f>YEAR(G517)</f>
        <v>2023</v>
      </c>
      <c r="E517" s="4" t="str">
        <f>TEXT(G517,"dddd")</f>
        <v>Friday</v>
      </c>
      <c r="F517" s="4" t="str">
        <f>TEXT(G517,"mmm")</f>
        <v>Jun</v>
      </c>
      <c r="G517" s="3">
        <v>45100</v>
      </c>
      <c r="H517" s="4" t="s">
        <v>550</v>
      </c>
      <c r="I517" s="4" t="s">
        <v>29</v>
      </c>
      <c r="J517" s="4" t="str" cm="1">
        <f t="array" ref="J517">_xlfn.IFS(K517&lt;30,"Young Adult",K517&lt;=50,"Adult",K517&gt;50,"Senior")</f>
        <v>Young Adult</v>
      </c>
      <c r="K517" s="4">
        <v>25</v>
      </c>
      <c r="L517" s="4" t="s">
        <v>8</v>
      </c>
      <c r="M517" s="4">
        <v>1</v>
      </c>
      <c r="N517" s="19">
        <v>50</v>
      </c>
      <c r="O517" s="15">
        <f>M517 * N517</f>
        <v>50</v>
      </c>
      <c r="P517" s="15">
        <f>O517*$S$3</f>
        <v>0.75</v>
      </c>
      <c r="Q517" s="15">
        <f>O517*$S$4</f>
        <v>1</v>
      </c>
    </row>
    <row r="518" spans="1:17">
      <c r="A518" s="2">
        <v>830</v>
      </c>
      <c r="B518" s="4">
        <f>DAY(G518)</f>
        <v>22</v>
      </c>
      <c r="C518" s="4">
        <f>MONTH(G518)</f>
        <v>6</v>
      </c>
      <c r="D518" s="4">
        <f>YEAR(G518)</f>
        <v>2023</v>
      </c>
      <c r="E518" s="4" t="str">
        <f>TEXT(G518,"dddd")</f>
        <v>Thursday</v>
      </c>
      <c r="F518" s="4" t="str">
        <f>TEXT(G518,"mmm")</f>
        <v>Jun</v>
      </c>
      <c r="G518" s="3">
        <v>45099</v>
      </c>
      <c r="H518" s="4" t="s">
        <v>551</v>
      </c>
      <c r="I518" s="4" t="s">
        <v>29</v>
      </c>
      <c r="J518" s="4" t="str" cm="1">
        <f t="array" ref="J518">_xlfn.IFS(K518&lt;30,"Young Adult",K518&lt;=50,"Adult",K518&gt;50,"Senior")</f>
        <v>Senior</v>
      </c>
      <c r="K518" s="4">
        <v>64</v>
      </c>
      <c r="L518" s="4" t="s">
        <v>8</v>
      </c>
      <c r="M518" s="4">
        <v>3</v>
      </c>
      <c r="N518" s="19">
        <v>50</v>
      </c>
      <c r="O518" s="15">
        <f>M518 * N518</f>
        <v>150</v>
      </c>
      <c r="P518" s="15">
        <f>O518*$S$3</f>
        <v>2.25</v>
      </c>
      <c r="Q518" s="15">
        <f>O518*$S$4</f>
        <v>3</v>
      </c>
    </row>
    <row r="519" spans="1:17">
      <c r="A519" s="2">
        <v>727</v>
      </c>
      <c r="B519" s="4">
        <f>DAY(G519)</f>
        <v>22</v>
      </c>
      <c r="C519" s="4">
        <f>MONTH(G519)</f>
        <v>6</v>
      </c>
      <c r="D519" s="4">
        <f>YEAR(G519)</f>
        <v>2023</v>
      </c>
      <c r="E519" s="4" t="str">
        <f>TEXT(G519,"dddd")</f>
        <v>Thursday</v>
      </c>
      <c r="F519" s="4" t="str">
        <f>TEXT(G519,"mmm")</f>
        <v>Jun</v>
      </c>
      <c r="G519" s="3">
        <v>45099</v>
      </c>
      <c r="H519" s="4" t="s">
        <v>552</v>
      </c>
      <c r="I519" s="4" t="s">
        <v>24</v>
      </c>
      <c r="J519" s="4" t="str" cm="1">
        <f t="array" ref="J519">_xlfn.IFS(K519&lt;30,"Young Adult",K519&lt;=50,"Adult",K519&gt;50,"Senior")</f>
        <v>Senior</v>
      </c>
      <c r="K519" s="4">
        <v>55</v>
      </c>
      <c r="L519" s="4" t="s">
        <v>7</v>
      </c>
      <c r="M519" s="4">
        <v>3</v>
      </c>
      <c r="N519" s="19">
        <v>300</v>
      </c>
      <c r="O519" s="15">
        <f>M519 * N519</f>
        <v>900</v>
      </c>
      <c r="P519" s="15">
        <f>O519*$S$3</f>
        <v>13.5</v>
      </c>
      <c r="Q519" s="15">
        <f>O519*$S$4</f>
        <v>18</v>
      </c>
    </row>
    <row r="520" spans="1:17">
      <c r="A520" s="2">
        <v>40</v>
      </c>
      <c r="B520" s="4">
        <f>DAY(G520)</f>
        <v>22</v>
      </c>
      <c r="C520" s="4">
        <f>MONTH(G520)</f>
        <v>6</v>
      </c>
      <c r="D520" s="4">
        <f>YEAR(G520)</f>
        <v>2023</v>
      </c>
      <c r="E520" s="4" t="str">
        <f>TEXT(G520,"dddd")</f>
        <v>Thursday</v>
      </c>
      <c r="F520" s="4" t="str">
        <f>TEXT(G520,"mmm")</f>
        <v>Jun</v>
      </c>
      <c r="G520" s="3">
        <v>45099</v>
      </c>
      <c r="H520" s="4" t="s">
        <v>553</v>
      </c>
      <c r="I520" s="4" t="s">
        <v>24</v>
      </c>
      <c r="J520" s="4" t="str" cm="1">
        <f t="array" ref="J520">_xlfn.IFS(K520&lt;30,"Young Adult",K520&lt;=50,"Adult",K520&gt;50,"Senior")</f>
        <v>Adult</v>
      </c>
      <c r="K520" s="4">
        <v>45</v>
      </c>
      <c r="L520" s="4" t="s">
        <v>7</v>
      </c>
      <c r="M520" s="4">
        <v>1</v>
      </c>
      <c r="N520" s="19">
        <v>50</v>
      </c>
      <c r="O520" s="15">
        <f>M520 * N520</f>
        <v>50</v>
      </c>
      <c r="P520" s="15">
        <f>O520*$S$3</f>
        <v>0.75</v>
      </c>
      <c r="Q520" s="15">
        <f>O520*$S$4</f>
        <v>1</v>
      </c>
    </row>
    <row r="521" spans="1:17">
      <c r="A521" s="2">
        <v>699</v>
      </c>
      <c r="B521" s="4">
        <f>DAY(G521)</f>
        <v>22</v>
      </c>
      <c r="C521" s="4">
        <f>MONTH(G521)</f>
        <v>6</v>
      </c>
      <c r="D521" s="4">
        <f>YEAR(G521)</f>
        <v>2023</v>
      </c>
      <c r="E521" s="4" t="str">
        <f>TEXT(G521,"dddd")</f>
        <v>Thursday</v>
      </c>
      <c r="F521" s="4" t="str">
        <f>TEXT(G521,"mmm")</f>
        <v>Jun</v>
      </c>
      <c r="G521" s="3">
        <v>45099</v>
      </c>
      <c r="H521" s="4" t="s">
        <v>554</v>
      </c>
      <c r="I521" s="4" t="s">
        <v>29</v>
      </c>
      <c r="J521" s="4" t="str" cm="1">
        <f t="array" ref="J521">_xlfn.IFS(K521&lt;30,"Young Adult",K521&lt;=50,"Adult",K521&gt;50,"Senior")</f>
        <v>Adult</v>
      </c>
      <c r="K521" s="4">
        <v>37</v>
      </c>
      <c r="L521" s="4" t="s">
        <v>8</v>
      </c>
      <c r="M521" s="4">
        <v>4</v>
      </c>
      <c r="N521" s="19">
        <v>30</v>
      </c>
      <c r="O521" s="15">
        <f>M521 * N521</f>
        <v>120</v>
      </c>
      <c r="P521" s="15">
        <f>O521*$S$3</f>
        <v>1.7999999999999998</v>
      </c>
      <c r="Q521" s="15">
        <f>O521*$S$4</f>
        <v>2.4</v>
      </c>
    </row>
    <row r="522" spans="1:17">
      <c r="A522" s="2">
        <v>654</v>
      </c>
      <c r="B522" s="4">
        <f>DAY(G522)</f>
        <v>21</v>
      </c>
      <c r="C522" s="4">
        <f>MONTH(G522)</f>
        <v>6</v>
      </c>
      <c r="D522" s="4">
        <f>YEAR(G522)</f>
        <v>2023</v>
      </c>
      <c r="E522" s="4" t="str">
        <f>TEXT(G522,"dddd")</f>
        <v>Wednesday</v>
      </c>
      <c r="F522" s="4" t="str">
        <f>TEXT(G522,"mmm")</f>
        <v>Jun</v>
      </c>
      <c r="G522" s="3">
        <v>45098</v>
      </c>
      <c r="H522" s="4" t="s">
        <v>555</v>
      </c>
      <c r="I522" s="4" t="s">
        <v>24</v>
      </c>
      <c r="J522" s="4" t="str" cm="1">
        <f t="array" ref="J522">_xlfn.IFS(K522&lt;30,"Young Adult",K522&lt;=50,"Adult",K522&gt;50,"Senior")</f>
        <v>Adult</v>
      </c>
      <c r="K522" s="4">
        <v>42</v>
      </c>
      <c r="L522" s="4" t="s">
        <v>8</v>
      </c>
      <c r="M522" s="4">
        <v>3</v>
      </c>
      <c r="N522" s="19">
        <v>25</v>
      </c>
      <c r="O522" s="15">
        <f>M522 * N522</f>
        <v>75</v>
      </c>
      <c r="P522" s="15">
        <f>O522*$S$3</f>
        <v>1.125</v>
      </c>
      <c r="Q522" s="15">
        <f>O522*$S$4</f>
        <v>1.5</v>
      </c>
    </row>
    <row r="523" spans="1:17">
      <c r="A523" s="2">
        <v>583</v>
      </c>
      <c r="B523" s="4">
        <f>DAY(G523)</f>
        <v>21</v>
      </c>
      <c r="C523" s="4">
        <f>MONTH(G523)</f>
        <v>6</v>
      </c>
      <c r="D523" s="4">
        <f>YEAR(G523)</f>
        <v>2023</v>
      </c>
      <c r="E523" s="4" t="str">
        <f>TEXT(G523,"dddd")</f>
        <v>Wednesday</v>
      </c>
      <c r="F523" s="4" t="str">
        <f>TEXT(G523,"mmm")</f>
        <v>Jun</v>
      </c>
      <c r="G523" s="3">
        <v>45098</v>
      </c>
      <c r="H523" s="4" t="s">
        <v>556</v>
      </c>
      <c r="I523" s="4" t="s">
        <v>29</v>
      </c>
      <c r="J523" s="4" t="str" cm="1">
        <f t="array" ref="J523">_xlfn.IFS(K523&lt;30,"Young Adult",K523&lt;=50,"Adult",K523&gt;50,"Senior")</f>
        <v>Young Adult</v>
      </c>
      <c r="K523" s="4">
        <v>24</v>
      </c>
      <c r="L523" s="4" t="s">
        <v>9</v>
      </c>
      <c r="M523" s="4">
        <v>4</v>
      </c>
      <c r="N523" s="19">
        <v>25</v>
      </c>
      <c r="O523" s="15">
        <f>M523 * N523</f>
        <v>100</v>
      </c>
      <c r="P523" s="15">
        <f>O523*$S$3</f>
        <v>1.5</v>
      </c>
      <c r="Q523" s="15">
        <f>O523*$S$4</f>
        <v>2</v>
      </c>
    </row>
    <row r="524" spans="1:17">
      <c r="A524" s="2">
        <v>466</v>
      </c>
      <c r="B524" s="4">
        <f>DAY(G524)</f>
        <v>20</v>
      </c>
      <c r="C524" s="4">
        <f>MONTH(G524)</f>
        <v>6</v>
      </c>
      <c r="D524" s="4">
        <f>YEAR(G524)</f>
        <v>2023</v>
      </c>
      <c r="E524" s="4" t="str">
        <f>TEXT(G524,"dddd")</f>
        <v>Tuesday</v>
      </c>
      <c r="F524" s="4" t="str">
        <f>TEXT(G524,"mmm")</f>
        <v>Jun</v>
      </c>
      <c r="G524" s="3">
        <v>45097</v>
      </c>
      <c r="H524" s="4" t="s">
        <v>557</v>
      </c>
      <c r="I524" s="4" t="s">
        <v>24</v>
      </c>
      <c r="J524" s="4" t="str" cm="1">
        <f t="array" ref="J524">_xlfn.IFS(K524&lt;30,"Young Adult",K524&lt;=50,"Adult",K524&gt;50,"Senior")</f>
        <v>Senior</v>
      </c>
      <c r="K524" s="4">
        <v>63</v>
      </c>
      <c r="L524" s="4" t="s">
        <v>9</v>
      </c>
      <c r="M524" s="4">
        <v>4</v>
      </c>
      <c r="N524" s="19">
        <v>25</v>
      </c>
      <c r="O524" s="15">
        <f>M524 * N524</f>
        <v>100</v>
      </c>
      <c r="P524" s="15">
        <f>O524*$S$3</f>
        <v>1.5</v>
      </c>
      <c r="Q524" s="15">
        <f>O524*$S$4</f>
        <v>2</v>
      </c>
    </row>
    <row r="525" spans="1:17">
      <c r="A525" s="2">
        <v>422</v>
      </c>
      <c r="B525" s="4">
        <f>DAY(G525)</f>
        <v>20</v>
      </c>
      <c r="C525" s="4">
        <f>MONTH(G525)</f>
        <v>6</v>
      </c>
      <c r="D525" s="4">
        <f>YEAR(G525)</f>
        <v>2023</v>
      </c>
      <c r="E525" s="4" t="str">
        <f>TEXT(G525,"dddd")</f>
        <v>Tuesday</v>
      </c>
      <c r="F525" s="4" t="str">
        <f>TEXT(G525,"mmm")</f>
        <v>Jun</v>
      </c>
      <c r="G525" s="3">
        <v>45097</v>
      </c>
      <c r="H525" s="4" t="s">
        <v>558</v>
      </c>
      <c r="I525" s="4" t="s">
        <v>29</v>
      </c>
      <c r="J525" s="4" t="str" cm="1">
        <f t="array" ref="J525">_xlfn.IFS(K525&lt;30,"Young Adult",K525&lt;=50,"Adult",K525&gt;50,"Senior")</f>
        <v>Young Adult</v>
      </c>
      <c r="K525" s="4">
        <v>28</v>
      </c>
      <c r="L525" s="4" t="s">
        <v>8</v>
      </c>
      <c r="M525" s="4">
        <v>3</v>
      </c>
      <c r="N525" s="19">
        <v>30</v>
      </c>
      <c r="O525" s="15">
        <f>M525 * N525</f>
        <v>90</v>
      </c>
      <c r="P525" s="15">
        <f>O525*$S$3</f>
        <v>1.3499999999999999</v>
      </c>
      <c r="Q525" s="15">
        <f>O525*$S$4</f>
        <v>1.8</v>
      </c>
    </row>
    <row r="526" spans="1:17">
      <c r="A526" s="2">
        <v>532</v>
      </c>
      <c r="B526" s="4">
        <f>DAY(G526)</f>
        <v>19</v>
      </c>
      <c r="C526" s="4">
        <f>MONTH(G526)</f>
        <v>6</v>
      </c>
      <c r="D526" s="4">
        <f>YEAR(G526)</f>
        <v>2023</v>
      </c>
      <c r="E526" s="4" t="str">
        <f>TEXT(G526,"dddd")</f>
        <v>Monday</v>
      </c>
      <c r="F526" s="4" t="str">
        <f>TEXT(G526,"mmm")</f>
        <v>Jun</v>
      </c>
      <c r="G526" s="3">
        <v>45096</v>
      </c>
      <c r="H526" s="4" t="s">
        <v>559</v>
      </c>
      <c r="I526" s="4" t="s">
        <v>29</v>
      </c>
      <c r="J526" s="4" t="str" cm="1">
        <f t="array" ref="J526">_xlfn.IFS(K526&lt;30,"Young Adult",K526&lt;=50,"Adult",K526&gt;50,"Senior")</f>
        <v>Senior</v>
      </c>
      <c r="K526" s="4">
        <v>64</v>
      </c>
      <c r="L526" s="4" t="s">
        <v>8</v>
      </c>
      <c r="M526" s="4">
        <v>4</v>
      </c>
      <c r="N526" s="19">
        <v>30</v>
      </c>
      <c r="O526" s="15">
        <f>M526 * N526</f>
        <v>120</v>
      </c>
      <c r="P526" s="15">
        <f>O526*$S$3</f>
        <v>1.7999999999999998</v>
      </c>
      <c r="Q526" s="15">
        <f>O526*$S$4</f>
        <v>2.4</v>
      </c>
    </row>
    <row r="527" spans="1:17">
      <c r="A527" s="2">
        <v>877</v>
      </c>
      <c r="B527" s="4">
        <f>DAY(G527)</f>
        <v>19</v>
      </c>
      <c r="C527" s="4">
        <f>MONTH(G527)</f>
        <v>6</v>
      </c>
      <c r="D527" s="4">
        <f>YEAR(G527)</f>
        <v>2023</v>
      </c>
      <c r="E527" s="4" t="str">
        <f>TEXT(G527,"dddd")</f>
        <v>Monday</v>
      </c>
      <c r="F527" s="4" t="str">
        <f>TEXT(G527,"mmm")</f>
        <v>Jun</v>
      </c>
      <c r="G527" s="3">
        <v>45096</v>
      </c>
      <c r="H527" s="4" t="s">
        <v>560</v>
      </c>
      <c r="I527" s="4" t="s">
        <v>29</v>
      </c>
      <c r="J527" s="4" t="str" cm="1">
        <f t="array" ref="J527">_xlfn.IFS(K527&lt;30,"Young Adult",K527&lt;=50,"Adult",K527&gt;50,"Senior")</f>
        <v>Senior</v>
      </c>
      <c r="K527" s="4">
        <v>58</v>
      </c>
      <c r="L527" s="4" t="s">
        <v>8</v>
      </c>
      <c r="M527" s="4">
        <v>1</v>
      </c>
      <c r="N527" s="19">
        <v>25</v>
      </c>
      <c r="O527" s="15">
        <f>M527 * N527</f>
        <v>25</v>
      </c>
      <c r="P527" s="15">
        <f>O527*$S$3</f>
        <v>0.375</v>
      </c>
      <c r="Q527" s="15">
        <f>O527*$S$4</f>
        <v>0.5</v>
      </c>
    </row>
    <row r="528" spans="1:17">
      <c r="A528" s="2">
        <v>498</v>
      </c>
      <c r="B528" s="4">
        <f>DAY(G528)</f>
        <v>19</v>
      </c>
      <c r="C528" s="4">
        <f>MONTH(G528)</f>
        <v>6</v>
      </c>
      <c r="D528" s="4">
        <f>YEAR(G528)</f>
        <v>2023</v>
      </c>
      <c r="E528" s="4" t="str">
        <f>TEXT(G528,"dddd")</f>
        <v>Monday</v>
      </c>
      <c r="F528" s="4" t="str">
        <f>TEXT(G528,"mmm")</f>
        <v>Jun</v>
      </c>
      <c r="G528" s="3">
        <v>45096</v>
      </c>
      <c r="H528" s="4" t="s">
        <v>561</v>
      </c>
      <c r="I528" s="4" t="s">
        <v>29</v>
      </c>
      <c r="J528" s="4" t="str" cm="1">
        <f t="array" ref="J528">_xlfn.IFS(K528&lt;30,"Young Adult",K528&lt;=50,"Adult",K528&gt;50,"Senior")</f>
        <v>Adult</v>
      </c>
      <c r="K528" s="4">
        <v>50</v>
      </c>
      <c r="L528" s="4" t="s">
        <v>8</v>
      </c>
      <c r="M528" s="4">
        <v>4</v>
      </c>
      <c r="N528" s="19">
        <v>25</v>
      </c>
      <c r="O528" s="15">
        <f>M528 * N528</f>
        <v>100</v>
      </c>
      <c r="P528" s="15">
        <f>O528*$S$3</f>
        <v>1.5</v>
      </c>
      <c r="Q528" s="15">
        <f>O528*$S$4</f>
        <v>2</v>
      </c>
    </row>
    <row r="529" spans="1:17">
      <c r="A529" s="2">
        <v>239</v>
      </c>
      <c r="B529" s="4">
        <f>DAY(G529)</f>
        <v>19</v>
      </c>
      <c r="C529" s="4">
        <f>MONTH(G529)</f>
        <v>6</v>
      </c>
      <c r="D529" s="4">
        <f>YEAR(G529)</f>
        <v>2023</v>
      </c>
      <c r="E529" s="4" t="str">
        <f>TEXT(G529,"dddd")</f>
        <v>Monday</v>
      </c>
      <c r="F529" s="4" t="str">
        <f>TEXT(G529,"mmm")</f>
        <v>Jun</v>
      </c>
      <c r="G529" s="3">
        <v>45096</v>
      </c>
      <c r="H529" s="4" t="s">
        <v>562</v>
      </c>
      <c r="I529" s="4" t="s">
        <v>24</v>
      </c>
      <c r="J529" s="4" t="str" cm="1">
        <f t="array" ref="J529">_xlfn.IFS(K529&lt;30,"Young Adult",K529&lt;=50,"Adult",K529&gt;50,"Senior")</f>
        <v>Adult</v>
      </c>
      <c r="K529" s="4">
        <v>38</v>
      </c>
      <c r="L529" s="4" t="s">
        <v>9</v>
      </c>
      <c r="M529" s="4">
        <v>3</v>
      </c>
      <c r="N529" s="19">
        <v>500</v>
      </c>
      <c r="O529" s="15">
        <f>M529 * N529</f>
        <v>1500</v>
      </c>
      <c r="P529" s="15">
        <f>O529*$S$3</f>
        <v>22.5</v>
      </c>
      <c r="Q529" s="15">
        <f>O529*$S$4</f>
        <v>30</v>
      </c>
    </row>
    <row r="530" spans="1:17">
      <c r="A530" s="2">
        <v>669</v>
      </c>
      <c r="B530" s="4">
        <f>DAY(G530)</f>
        <v>19</v>
      </c>
      <c r="C530" s="4">
        <f>MONTH(G530)</f>
        <v>6</v>
      </c>
      <c r="D530" s="4">
        <f>YEAR(G530)</f>
        <v>2023</v>
      </c>
      <c r="E530" s="4" t="str">
        <f>TEXT(G530,"dddd")</f>
        <v>Monday</v>
      </c>
      <c r="F530" s="4" t="str">
        <f>TEXT(G530,"mmm")</f>
        <v>Jun</v>
      </c>
      <c r="G530" s="3">
        <v>45096</v>
      </c>
      <c r="H530" s="4" t="s">
        <v>563</v>
      </c>
      <c r="I530" s="4" t="s">
        <v>24</v>
      </c>
      <c r="J530" s="4" t="str" cm="1">
        <f t="array" ref="J530">_xlfn.IFS(K530&lt;30,"Young Adult",K530&lt;=50,"Adult",K530&gt;50,"Senior")</f>
        <v>Young Adult</v>
      </c>
      <c r="K530" s="4">
        <v>24</v>
      </c>
      <c r="L530" s="4" t="s">
        <v>7</v>
      </c>
      <c r="M530" s="4">
        <v>4</v>
      </c>
      <c r="N530" s="19">
        <v>300</v>
      </c>
      <c r="O530" s="15">
        <f>M530 * N530</f>
        <v>1200</v>
      </c>
      <c r="P530" s="15">
        <f>O530*$S$3</f>
        <v>18</v>
      </c>
      <c r="Q530" s="15">
        <f>O530*$S$4</f>
        <v>24</v>
      </c>
    </row>
    <row r="531" spans="1:17">
      <c r="A531" s="2">
        <v>488</v>
      </c>
      <c r="B531" s="4">
        <f>DAY(G531)</f>
        <v>18</v>
      </c>
      <c r="C531" s="4">
        <f>MONTH(G531)</f>
        <v>6</v>
      </c>
      <c r="D531" s="4">
        <f>YEAR(G531)</f>
        <v>2023</v>
      </c>
      <c r="E531" s="4" t="str">
        <f>TEXT(G531,"dddd")</f>
        <v>Sunday</v>
      </c>
      <c r="F531" s="4" t="str">
        <f>TEXT(G531,"mmm")</f>
        <v>Jun</v>
      </c>
      <c r="G531" s="3">
        <v>45095</v>
      </c>
      <c r="H531" s="4" t="s">
        <v>564</v>
      </c>
      <c r="I531" s="4" t="s">
        <v>29</v>
      </c>
      <c r="J531" s="4" t="str" cm="1">
        <f t="array" ref="J531">_xlfn.IFS(K531&lt;30,"Young Adult",K531&lt;=50,"Adult",K531&gt;50,"Senior")</f>
        <v>Senior</v>
      </c>
      <c r="K531" s="4">
        <v>51</v>
      </c>
      <c r="L531" s="4" t="s">
        <v>9</v>
      </c>
      <c r="M531" s="4">
        <v>3</v>
      </c>
      <c r="N531" s="19">
        <v>300</v>
      </c>
      <c r="O531" s="15">
        <f>M531 * N531</f>
        <v>900</v>
      </c>
      <c r="P531" s="15">
        <f>O531*$S$3</f>
        <v>13.5</v>
      </c>
      <c r="Q531" s="15">
        <f>O531*$S$4</f>
        <v>18</v>
      </c>
    </row>
    <row r="532" spans="1:17">
      <c r="A532" s="2">
        <v>723</v>
      </c>
      <c r="B532" s="4">
        <f>DAY(G532)</f>
        <v>17</v>
      </c>
      <c r="C532" s="4">
        <f>MONTH(G532)</f>
        <v>6</v>
      </c>
      <c r="D532" s="4">
        <f>YEAR(G532)</f>
        <v>2023</v>
      </c>
      <c r="E532" s="4" t="str">
        <f>TEXT(G532,"dddd")</f>
        <v>Saturday</v>
      </c>
      <c r="F532" s="4" t="str">
        <f>TEXT(G532,"mmm")</f>
        <v>Jun</v>
      </c>
      <c r="G532" s="3">
        <v>45094</v>
      </c>
      <c r="H532" s="4" t="s">
        <v>565</v>
      </c>
      <c r="I532" s="4" t="s">
        <v>29</v>
      </c>
      <c r="J532" s="4" t="str" cm="1">
        <f t="array" ref="J532">_xlfn.IFS(K532&lt;30,"Young Adult",K532&lt;=50,"Adult",K532&gt;50,"Senior")</f>
        <v>Senior</v>
      </c>
      <c r="K532" s="4">
        <v>54</v>
      </c>
      <c r="L532" s="4" t="s">
        <v>7</v>
      </c>
      <c r="M532" s="4">
        <v>4</v>
      </c>
      <c r="N532" s="19">
        <v>50</v>
      </c>
      <c r="O532" s="15">
        <f>M532 * N532</f>
        <v>200</v>
      </c>
      <c r="P532" s="15">
        <f>O532*$S$3</f>
        <v>3</v>
      </c>
      <c r="Q532" s="15">
        <f>O532*$S$4</f>
        <v>4</v>
      </c>
    </row>
    <row r="533" spans="1:17">
      <c r="A533" s="2">
        <v>726</v>
      </c>
      <c r="B533" s="4">
        <f>DAY(G533)</f>
        <v>17</v>
      </c>
      <c r="C533" s="4">
        <f>MONTH(G533)</f>
        <v>6</v>
      </c>
      <c r="D533" s="4">
        <f>YEAR(G533)</f>
        <v>2023</v>
      </c>
      <c r="E533" s="4" t="str">
        <f>TEXT(G533,"dddd")</f>
        <v>Saturday</v>
      </c>
      <c r="F533" s="4" t="str">
        <f>TEXT(G533,"mmm")</f>
        <v>Jun</v>
      </c>
      <c r="G533" s="3">
        <v>45094</v>
      </c>
      <c r="H533" s="4" t="s">
        <v>566</v>
      </c>
      <c r="I533" s="4" t="s">
        <v>24</v>
      </c>
      <c r="J533" s="4" t="str" cm="1">
        <f t="array" ref="J533">_xlfn.IFS(K533&lt;30,"Young Adult",K533&lt;=50,"Adult",K533&gt;50,"Senior")</f>
        <v>Adult</v>
      </c>
      <c r="K533" s="4">
        <v>47</v>
      </c>
      <c r="L533" s="4" t="s">
        <v>8</v>
      </c>
      <c r="M533" s="4">
        <v>4</v>
      </c>
      <c r="N533" s="19">
        <v>300</v>
      </c>
      <c r="O533" s="15">
        <f>M533 * N533</f>
        <v>1200</v>
      </c>
      <c r="P533" s="15">
        <f>O533*$S$3</f>
        <v>18</v>
      </c>
      <c r="Q533" s="15">
        <f>O533*$S$4</f>
        <v>24</v>
      </c>
    </row>
    <row r="534" spans="1:17">
      <c r="A534" s="2">
        <v>542</v>
      </c>
      <c r="B534" s="4">
        <f>DAY(G534)</f>
        <v>17</v>
      </c>
      <c r="C534" s="4">
        <f>MONTH(G534)</f>
        <v>6</v>
      </c>
      <c r="D534" s="4">
        <f>YEAR(G534)</f>
        <v>2023</v>
      </c>
      <c r="E534" s="4" t="str">
        <f>TEXT(G534,"dddd")</f>
        <v>Saturday</v>
      </c>
      <c r="F534" s="4" t="str">
        <f>TEXT(G534,"mmm")</f>
        <v>Jun</v>
      </c>
      <c r="G534" s="3">
        <v>45094</v>
      </c>
      <c r="H534" s="4" t="s">
        <v>567</v>
      </c>
      <c r="I534" s="4" t="s">
        <v>29</v>
      </c>
      <c r="J534" s="4" t="str" cm="1">
        <f t="array" ref="J534">_xlfn.IFS(K534&lt;30,"Young Adult",K534&lt;=50,"Adult",K534&gt;50,"Senior")</f>
        <v>Young Adult</v>
      </c>
      <c r="K534" s="4">
        <v>20</v>
      </c>
      <c r="L534" s="4" t="s">
        <v>7</v>
      </c>
      <c r="M534" s="4">
        <v>1</v>
      </c>
      <c r="N534" s="19">
        <v>50</v>
      </c>
      <c r="O534" s="15">
        <f>M534 * N534</f>
        <v>50</v>
      </c>
      <c r="P534" s="15">
        <f>O534*$S$3</f>
        <v>0.75</v>
      </c>
      <c r="Q534" s="15">
        <f>O534*$S$4</f>
        <v>1</v>
      </c>
    </row>
    <row r="535" spans="1:17">
      <c r="A535" s="2">
        <v>833</v>
      </c>
      <c r="B535" s="4">
        <f>DAY(G535)</f>
        <v>16</v>
      </c>
      <c r="C535" s="4">
        <f>MONTH(G535)</f>
        <v>6</v>
      </c>
      <c r="D535" s="4">
        <f>YEAR(G535)</f>
        <v>2023</v>
      </c>
      <c r="E535" s="4" t="str">
        <f>TEXT(G535,"dddd")</f>
        <v>Friday</v>
      </c>
      <c r="F535" s="4" t="str">
        <f>TEXT(G535,"mmm")</f>
        <v>Jun</v>
      </c>
      <c r="G535" s="3">
        <v>45093</v>
      </c>
      <c r="H535" s="4" t="s">
        <v>568</v>
      </c>
      <c r="I535" s="4" t="s">
        <v>24</v>
      </c>
      <c r="J535" s="4" t="str" cm="1">
        <f t="array" ref="J535">_xlfn.IFS(K535&lt;30,"Young Adult",K535&lt;=50,"Adult",K535&gt;50,"Senior")</f>
        <v>Adult</v>
      </c>
      <c r="K535" s="4">
        <v>42</v>
      </c>
      <c r="L535" s="4" t="s">
        <v>7</v>
      </c>
      <c r="M535" s="4">
        <v>4</v>
      </c>
      <c r="N535" s="19">
        <v>50</v>
      </c>
      <c r="O535" s="15">
        <f>M535 * N535</f>
        <v>200</v>
      </c>
      <c r="P535" s="15">
        <f>O535*$S$3</f>
        <v>3</v>
      </c>
      <c r="Q535" s="15">
        <f>O535*$S$4</f>
        <v>4</v>
      </c>
    </row>
    <row r="536" spans="1:17">
      <c r="A536" s="2">
        <v>100</v>
      </c>
      <c r="B536" s="4">
        <f>DAY(G536)</f>
        <v>16</v>
      </c>
      <c r="C536" s="4">
        <f>MONTH(G536)</f>
        <v>6</v>
      </c>
      <c r="D536" s="4">
        <f>YEAR(G536)</f>
        <v>2023</v>
      </c>
      <c r="E536" s="4" t="str">
        <f>TEXT(G536,"dddd")</f>
        <v>Friday</v>
      </c>
      <c r="F536" s="4" t="str">
        <f>TEXT(G536,"mmm")</f>
        <v>Jun</v>
      </c>
      <c r="G536" s="3">
        <v>45093</v>
      </c>
      <c r="H536" s="4" t="s">
        <v>569</v>
      </c>
      <c r="I536" s="4" t="s">
        <v>24</v>
      </c>
      <c r="J536" s="4" t="str" cm="1">
        <f t="array" ref="J536">_xlfn.IFS(K536&lt;30,"Young Adult",K536&lt;=50,"Adult",K536&gt;50,"Senior")</f>
        <v>Adult</v>
      </c>
      <c r="K536" s="4">
        <v>41</v>
      </c>
      <c r="L536" s="4" t="s">
        <v>9</v>
      </c>
      <c r="M536" s="4">
        <v>1</v>
      </c>
      <c r="N536" s="19">
        <v>30</v>
      </c>
      <c r="O536" s="15">
        <f>M536 * N536</f>
        <v>30</v>
      </c>
      <c r="P536" s="15">
        <f>O536*$S$3</f>
        <v>0.44999999999999996</v>
      </c>
      <c r="Q536" s="15">
        <f>O536*$S$4</f>
        <v>0.6</v>
      </c>
    </row>
    <row r="537" spans="1:17">
      <c r="A537" s="2">
        <v>182</v>
      </c>
      <c r="B537" s="4">
        <f>DAY(G537)</f>
        <v>15</v>
      </c>
      <c r="C537" s="4">
        <f>MONTH(G537)</f>
        <v>6</v>
      </c>
      <c r="D537" s="4">
        <f>YEAR(G537)</f>
        <v>2023</v>
      </c>
      <c r="E537" s="4" t="str">
        <f>TEXT(G537,"dddd")</f>
        <v>Thursday</v>
      </c>
      <c r="F537" s="4" t="str">
        <f>TEXT(G537,"mmm")</f>
        <v>Jun</v>
      </c>
      <c r="G537" s="3">
        <v>45092</v>
      </c>
      <c r="H537" s="4" t="s">
        <v>570</v>
      </c>
      <c r="I537" s="4" t="s">
        <v>24</v>
      </c>
      <c r="J537" s="4" t="str" cm="1">
        <f t="array" ref="J537">_xlfn.IFS(K537&lt;30,"Young Adult",K537&lt;=50,"Adult",K537&gt;50,"Senior")</f>
        <v>Senior</v>
      </c>
      <c r="K537" s="4">
        <v>62</v>
      </c>
      <c r="L537" s="4" t="s">
        <v>7</v>
      </c>
      <c r="M537" s="4">
        <v>4</v>
      </c>
      <c r="N537" s="19">
        <v>30</v>
      </c>
      <c r="O537" s="15">
        <f>M537 * N537</f>
        <v>120</v>
      </c>
      <c r="P537" s="15">
        <f>O537*$S$3</f>
        <v>1.7999999999999998</v>
      </c>
      <c r="Q537" s="15">
        <f>O537*$S$4</f>
        <v>2.4</v>
      </c>
    </row>
    <row r="538" spans="1:17">
      <c r="A538" s="2">
        <v>819</v>
      </c>
      <c r="B538" s="4">
        <f>DAY(G538)</f>
        <v>15</v>
      </c>
      <c r="C538" s="4">
        <f>MONTH(G538)</f>
        <v>6</v>
      </c>
      <c r="D538" s="4">
        <f>YEAR(G538)</f>
        <v>2023</v>
      </c>
      <c r="E538" s="4" t="str">
        <f>TEXT(G538,"dddd")</f>
        <v>Thursday</v>
      </c>
      <c r="F538" s="4" t="str">
        <f>TEXT(G538,"mmm")</f>
        <v>Jun</v>
      </c>
      <c r="G538" s="3">
        <v>45092</v>
      </c>
      <c r="H538" s="4" t="s">
        <v>571</v>
      </c>
      <c r="I538" s="4" t="s">
        <v>29</v>
      </c>
      <c r="J538" s="4" t="str" cm="1">
        <f t="array" ref="J538">_xlfn.IFS(K538&lt;30,"Young Adult",K538&lt;=50,"Adult",K538&gt;50,"Senior")</f>
        <v>Adult</v>
      </c>
      <c r="K538" s="4">
        <v>35</v>
      </c>
      <c r="L538" s="4" t="s">
        <v>7</v>
      </c>
      <c r="M538" s="4">
        <v>2</v>
      </c>
      <c r="N538" s="19">
        <v>50</v>
      </c>
      <c r="O538" s="15">
        <f>M538 * N538</f>
        <v>100</v>
      </c>
      <c r="P538" s="15">
        <f>O538*$S$3</f>
        <v>1.5</v>
      </c>
      <c r="Q538" s="15">
        <f>O538*$S$4</f>
        <v>2</v>
      </c>
    </row>
    <row r="539" spans="1:17">
      <c r="A539" s="2">
        <v>567</v>
      </c>
      <c r="B539" s="4">
        <f>DAY(G539)</f>
        <v>14</v>
      </c>
      <c r="C539" s="4">
        <f>MONTH(G539)</f>
        <v>6</v>
      </c>
      <c r="D539" s="4">
        <f>YEAR(G539)</f>
        <v>2023</v>
      </c>
      <c r="E539" s="4" t="str">
        <f>TEXT(G539,"dddd")</f>
        <v>Wednesday</v>
      </c>
      <c r="F539" s="4" t="str">
        <f>TEXT(G539,"mmm")</f>
        <v>Jun</v>
      </c>
      <c r="G539" s="3">
        <v>45091</v>
      </c>
      <c r="H539" s="4" t="s">
        <v>572</v>
      </c>
      <c r="I539" s="4" t="s">
        <v>29</v>
      </c>
      <c r="J539" s="4" t="str" cm="1">
        <f t="array" ref="J539">_xlfn.IFS(K539&lt;30,"Young Adult",K539&lt;=50,"Adult",K539&gt;50,"Senior")</f>
        <v>Young Adult</v>
      </c>
      <c r="K539" s="4">
        <v>25</v>
      </c>
      <c r="L539" s="4" t="s">
        <v>8</v>
      </c>
      <c r="M539" s="4">
        <v>3</v>
      </c>
      <c r="N539" s="19">
        <v>300</v>
      </c>
      <c r="O539" s="15">
        <f>M539 * N539</f>
        <v>900</v>
      </c>
      <c r="P539" s="15">
        <f>O539*$S$3</f>
        <v>13.5</v>
      </c>
      <c r="Q539" s="15">
        <f>O539*$S$4</f>
        <v>18</v>
      </c>
    </row>
    <row r="540" spans="1:17">
      <c r="A540" s="2">
        <v>655</v>
      </c>
      <c r="B540" s="4">
        <f>DAY(G540)</f>
        <v>13</v>
      </c>
      <c r="C540" s="4">
        <f>MONTH(G540)</f>
        <v>6</v>
      </c>
      <c r="D540" s="4">
        <f>YEAR(G540)</f>
        <v>2023</v>
      </c>
      <c r="E540" s="4" t="str">
        <f>TEXT(G540,"dddd")</f>
        <v>Tuesday</v>
      </c>
      <c r="F540" s="4" t="str">
        <f>TEXT(G540,"mmm")</f>
        <v>Jun</v>
      </c>
      <c r="G540" s="3">
        <v>45090</v>
      </c>
      <c r="H540" s="4" t="s">
        <v>573</v>
      </c>
      <c r="I540" s="4" t="s">
        <v>29</v>
      </c>
      <c r="J540" s="4" t="str" cm="1">
        <f t="array" ref="J540">_xlfn.IFS(K540&lt;30,"Young Adult",K540&lt;=50,"Adult",K540&gt;50,"Senior")</f>
        <v>Senior</v>
      </c>
      <c r="K540" s="4">
        <v>55</v>
      </c>
      <c r="L540" s="4" t="s">
        <v>8</v>
      </c>
      <c r="M540" s="4">
        <v>1</v>
      </c>
      <c r="N540" s="19">
        <v>500</v>
      </c>
      <c r="O540" s="15">
        <f>M540 * N540</f>
        <v>500</v>
      </c>
      <c r="P540" s="15">
        <f>O540*$S$3</f>
        <v>7.5</v>
      </c>
      <c r="Q540" s="15">
        <f>O540*$S$4</f>
        <v>10</v>
      </c>
    </row>
    <row r="541" spans="1:17">
      <c r="A541" s="2">
        <v>629</v>
      </c>
      <c r="B541" s="4">
        <f>DAY(G541)</f>
        <v>12</v>
      </c>
      <c r="C541" s="4">
        <f>MONTH(G541)</f>
        <v>6</v>
      </c>
      <c r="D541" s="4">
        <f>YEAR(G541)</f>
        <v>2023</v>
      </c>
      <c r="E541" s="4" t="str">
        <f>TEXT(G541,"dddd")</f>
        <v>Monday</v>
      </c>
      <c r="F541" s="4" t="str">
        <f>TEXT(G541,"mmm")</f>
        <v>Jun</v>
      </c>
      <c r="G541" s="3">
        <v>45089</v>
      </c>
      <c r="H541" s="4" t="s">
        <v>574</v>
      </c>
      <c r="I541" s="4" t="s">
        <v>24</v>
      </c>
      <c r="J541" s="4" t="str" cm="1">
        <f t="array" ref="J541">_xlfn.IFS(K541&lt;30,"Young Adult",K541&lt;=50,"Adult",K541&gt;50,"Senior")</f>
        <v>Senior</v>
      </c>
      <c r="K541" s="4">
        <v>62</v>
      </c>
      <c r="L541" s="4" t="s">
        <v>9</v>
      </c>
      <c r="M541" s="4">
        <v>2</v>
      </c>
      <c r="N541" s="19">
        <v>25</v>
      </c>
      <c r="O541" s="15">
        <f>M541 * N541</f>
        <v>50</v>
      </c>
      <c r="P541" s="15">
        <f>O541*$S$3</f>
        <v>0.75</v>
      </c>
      <c r="Q541" s="15">
        <f>O541*$S$4</f>
        <v>1</v>
      </c>
    </row>
    <row r="542" spans="1:17">
      <c r="A542" s="2">
        <v>887</v>
      </c>
      <c r="B542" s="4">
        <f>DAY(G542)</f>
        <v>11</v>
      </c>
      <c r="C542" s="4">
        <f>MONTH(G542)</f>
        <v>6</v>
      </c>
      <c r="D542" s="4">
        <f>YEAR(G542)</f>
        <v>2023</v>
      </c>
      <c r="E542" s="4" t="str">
        <f>TEXT(G542,"dddd")</f>
        <v>Sunday</v>
      </c>
      <c r="F542" s="4" t="str">
        <f>TEXT(G542,"mmm")</f>
        <v>Jun</v>
      </c>
      <c r="G542" s="3">
        <v>45088</v>
      </c>
      <c r="H542" s="4" t="s">
        <v>575</v>
      </c>
      <c r="I542" s="4" t="s">
        <v>24</v>
      </c>
      <c r="J542" s="4" t="str" cm="1">
        <f t="array" ref="J542">_xlfn.IFS(K542&lt;30,"Young Adult",K542&lt;=50,"Adult",K542&gt;50,"Senior")</f>
        <v>Senior</v>
      </c>
      <c r="K542" s="4">
        <v>59</v>
      </c>
      <c r="L542" s="4" t="s">
        <v>8</v>
      </c>
      <c r="M542" s="4">
        <v>4</v>
      </c>
      <c r="N542" s="19">
        <v>25</v>
      </c>
      <c r="O542" s="15">
        <f>M542 * N542</f>
        <v>100</v>
      </c>
      <c r="P542" s="15">
        <f>O542*$S$3</f>
        <v>1.5</v>
      </c>
      <c r="Q542" s="15">
        <f>O542*$S$4</f>
        <v>2</v>
      </c>
    </row>
    <row r="543" spans="1:17">
      <c r="A543" s="2">
        <v>352</v>
      </c>
      <c r="B543" s="4">
        <f>DAY(G543)</f>
        <v>11</v>
      </c>
      <c r="C543" s="4">
        <f>MONTH(G543)</f>
        <v>6</v>
      </c>
      <c r="D543" s="4">
        <f>YEAR(G543)</f>
        <v>2023</v>
      </c>
      <c r="E543" s="4" t="str">
        <f>TEXT(G543,"dddd")</f>
        <v>Sunday</v>
      </c>
      <c r="F543" s="4" t="str">
        <f>TEXT(G543,"mmm")</f>
        <v>Jun</v>
      </c>
      <c r="G543" s="3">
        <v>45088</v>
      </c>
      <c r="H543" s="4" t="s">
        <v>576</v>
      </c>
      <c r="I543" s="4" t="s">
        <v>24</v>
      </c>
      <c r="J543" s="4" t="str" cm="1">
        <f t="array" ref="J543">_xlfn.IFS(K543&lt;30,"Young Adult",K543&lt;=50,"Adult",K543&gt;50,"Senior")</f>
        <v>Senior</v>
      </c>
      <c r="K543" s="4">
        <v>57</v>
      </c>
      <c r="L543" s="4" t="s">
        <v>9</v>
      </c>
      <c r="M543" s="4">
        <v>2</v>
      </c>
      <c r="N543" s="19">
        <v>500</v>
      </c>
      <c r="O543" s="15">
        <f>M543 * N543</f>
        <v>1000</v>
      </c>
      <c r="P543" s="15">
        <f>O543*$S$3</f>
        <v>15</v>
      </c>
      <c r="Q543" s="15">
        <f>O543*$S$4</f>
        <v>20</v>
      </c>
    </row>
    <row r="544" spans="1:17">
      <c r="A544" s="2">
        <v>104</v>
      </c>
      <c r="B544" s="4">
        <f>DAY(G544)</f>
        <v>11</v>
      </c>
      <c r="C544" s="4">
        <f>MONTH(G544)</f>
        <v>6</v>
      </c>
      <c r="D544" s="4">
        <f>YEAR(G544)</f>
        <v>2023</v>
      </c>
      <c r="E544" s="4" t="str">
        <f>TEXT(G544,"dddd")</f>
        <v>Sunday</v>
      </c>
      <c r="F544" s="4" t="str">
        <f>TEXT(G544,"mmm")</f>
        <v>Jun</v>
      </c>
      <c r="G544" s="3">
        <v>45088</v>
      </c>
      <c r="H544" s="4" t="s">
        <v>577</v>
      </c>
      <c r="I544" s="4" t="s">
        <v>29</v>
      </c>
      <c r="J544" s="4" t="str" cm="1">
        <f t="array" ref="J544">_xlfn.IFS(K544&lt;30,"Young Adult",K544&lt;=50,"Adult",K544&gt;50,"Senior")</f>
        <v>Adult</v>
      </c>
      <c r="K544" s="4">
        <v>34</v>
      </c>
      <c r="L544" s="4" t="s">
        <v>7</v>
      </c>
      <c r="M544" s="4">
        <v>2</v>
      </c>
      <c r="N544" s="19">
        <v>500</v>
      </c>
      <c r="O544" s="15">
        <f>M544 * N544</f>
        <v>1000</v>
      </c>
      <c r="P544" s="15">
        <f>O544*$S$3</f>
        <v>15</v>
      </c>
      <c r="Q544" s="15">
        <f>O544*$S$4</f>
        <v>20</v>
      </c>
    </row>
    <row r="545" spans="1:17">
      <c r="A545" s="2">
        <v>365</v>
      </c>
      <c r="B545" s="4">
        <f>DAY(G545)</f>
        <v>11</v>
      </c>
      <c r="C545" s="4">
        <f>MONTH(G545)</f>
        <v>6</v>
      </c>
      <c r="D545" s="4">
        <f>YEAR(G545)</f>
        <v>2023</v>
      </c>
      <c r="E545" s="4" t="str">
        <f>TEXT(G545,"dddd")</f>
        <v>Sunday</v>
      </c>
      <c r="F545" s="4" t="str">
        <f>TEXT(G545,"mmm")</f>
        <v>Jun</v>
      </c>
      <c r="G545" s="3">
        <v>45088</v>
      </c>
      <c r="H545" s="4" t="s">
        <v>578</v>
      </c>
      <c r="I545" s="4" t="s">
        <v>24</v>
      </c>
      <c r="J545" s="4" t="str" cm="1">
        <f t="array" ref="J545">_xlfn.IFS(K545&lt;30,"Young Adult",K545&lt;=50,"Adult",K545&gt;50,"Senior")</f>
        <v>Adult</v>
      </c>
      <c r="K545" s="4">
        <v>31</v>
      </c>
      <c r="L545" s="4" t="s">
        <v>8</v>
      </c>
      <c r="M545" s="4">
        <v>1</v>
      </c>
      <c r="N545" s="19">
        <v>300</v>
      </c>
      <c r="O545" s="15">
        <f>M545 * N545</f>
        <v>300</v>
      </c>
      <c r="P545" s="15">
        <f>O545*$S$3</f>
        <v>4.5</v>
      </c>
      <c r="Q545" s="15">
        <f>O545*$S$4</f>
        <v>6</v>
      </c>
    </row>
    <row r="546" spans="1:17">
      <c r="A546" s="2">
        <v>110</v>
      </c>
      <c r="B546" s="4">
        <f>DAY(G546)</f>
        <v>11</v>
      </c>
      <c r="C546" s="4">
        <f>MONTH(G546)</f>
        <v>6</v>
      </c>
      <c r="D546" s="4">
        <f>YEAR(G546)</f>
        <v>2023</v>
      </c>
      <c r="E546" s="4" t="str">
        <f>TEXT(G546,"dddd")</f>
        <v>Sunday</v>
      </c>
      <c r="F546" s="4" t="str">
        <f>TEXT(G546,"mmm")</f>
        <v>Jun</v>
      </c>
      <c r="G546" s="3">
        <v>45088</v>
      </c>
      <c r="H546" s="4" t="s">
        <v>579</v>
      </c>
      <c r="I546" s="4" t="s">
        <v>24</v>
      </c>
      <c r="J546" s="4" t="str" cm="1">
        <f t="array" ref="J546">_xlfn.IFS(K546&lt;30,"Young Adult",K546&lt;=50,"Adult",K546&gt;50,"Senior")</f>
        <v>Young Adult</v>
      </c>
      <c r="K546" s="4">
        <v>27</v>
      </c>
      <c r="L546" s="4" t="s">
        <v>8</v>
      </c>
      <c r="M546" s="4">
        <v>3</v>
      </c>
      <c r="N546" s="19">
        <v>300</v>
      </c>
      <c r="O546" s="15">
        <f>M546 * N546</f>
        <v>900</v>
      </c>
      <c r="P546" s="15">
        <f>O546*$S$3</f>
        <v>13.5</v>
      </c>
      <c r="Q546" s="15">
        <f>O546*$S$4</f>
        <v>18</v>
      </c>
    </row>
    <row r="547" spans="1:17">
      <c r="A547" s="2">
        <v>356</v>
      </c>
      <c r="B547" s="4">
        <f>DAY(G547)</f>
        <v>10</v>
      </c>
      <c r="C547" s="4">
        <f>MONTH(G547)</f>
        <v>6</v>
      </c>
      <c r="D547" s="4">
        <f>YEAR(G547)</f>
        <v>2023</v>
      </c>
      <c r="E547" s="4" t="str">
        <f>TEXT(G547,"dddd")</f>
        <v>Saturday</v>
      </c>
      <c r="F547" s="4" t="str">
        <f>TEXT(G547,"mmm")</f>
        <v>Jun</v>
      </c>
      <c r="G547" s="3">
        <v>45087</v>
      </c>
      <c r="H547" s="4" t="s">
        <v>580</v>
      </c>
      <c r="I547" s="4" t="s">
        <v>24</v>
      </c>
      <c r="J547" s="4" t="str" cm="1">
        <f t="array" ref="J547">_xlfn.IFS(K547&lt;30,"Young Adult",K547&lt;=50,"Adult",K547&gt;50,"Senior")</f>
        <v>Adult</v>
      </c>
      <c r="K547" s="4">
        <v>50</v>
      </c>
      <c r="L547" s="4" t="s">
        <v>9</v>
      </c>
      <c r="M547" s="4">
        <v>3</v>
      </c>
      <c r="N547" s="19">
        <v>500</v>
      </c>
      <c r="O547" s="15">
        <f>M547 * N547</f>
        <v>1500</v>
      </c>
      <c r="P547" s="15">
        <f>O547*$S$3</f>
        <v>22.5</v>
      </c>
      <c r="Q547" s="15">
        <f>O547*$S$4</f>
        <v>30</v>
      </c>
    </row>
    <row r="548" spans="1:17">
      <c r="A548" s="2">
        <v>534</v>
      </c>
      <c r="B548" s="4">
        <f>DAY(G548)</f>
        <v>10</v>
      </c>
      <c r="C548" s="4">
        <f>MONTH(G548)</f>
        <v>6</v>
      </c>
      <c r="D548" s="4">
        <f>YEAR(G548)</f>
        <v>2023</v>
      </c>
      <c r="E548" s="4" t="str">
        <f>TEXT(G548,"dddd")</f>
        <v>Saturday</v>
      </c>
      <c r="F548" s="4" t="str">
        <f>TEXT(G548,"mmm")</f>
        <v>Jun</v>
      </c>
      <c r="G548" s="3">
        <v>45087</v>
      </c>
      <c r="H548" s="4" t="s">
        <v>581</v>
      </c>
      <c r="I548" s="4" t="s">
        <v>24</v>
      </c>
      <c r="J548" s="4" t="str" cm="1">
        <f t="array" ref="J548">_xlfn.IFS(K548&lt;30,"Young Adult",K548&lt;=50,"Adult",K548&gt;50,"Senior")</f>
        <v>Adult</v>
      </c>
      <c r="K548" s="4">
        <v>45</v>
      </c>
      <c r="L548" s="4" t="s">
        <v>8</v>
      </c>
      <c r="M548" s="4">
        <v>2</v>
      </c>
      <c r="N548" s="19">
        <v>500</v>
      </c>
      <c r="O548" s="15">
        <f>M548 * N548</f>
        <v>1000</v>
      </c>
      <c r="P548" s="15">
        <f>O548*$S$3</f>
        <v>15</v>
      </c>
      <c r="Q548" s="15">
        <f>O548*$S$4</f>
        <v>20</v>
      </c>
    </row>
    <row r="549" spans="1:17">
      <c r="A549" s="2">
        <v>510</v>
      </c>
      <c r="B549" s="4">
        <f>DAY(G549)</f>
        <v>10</v>
      </c>
      <c r="C549" s="4">
        <f>MONTH(G549)</f>
        <v>6</v>
      </c>
      <c r="D549" s="4">
        <f>YEAR(G549)</f>
        <v>2023</v>
      </c>
      <c r="E549" s="4" t="str">
        <f>TEXT(G549,"dddd")</f>
        <v>Saturday</v>
      </c>
      <c r="F549" s="4" t="str">
        <f>TEXT(G549,"mmm")</f>
        <v>Jun</v>
      </c>
      <c r="G549" s="3">
        <v>45087</v>
      </c>
      <c r="H549" s="4" t="s">
        <v>582</v>
      </c>
      <c r="I549" s="4" t="s">
        <v>29</v>
      </c>
      <c r="J549" s="4" t="str" cm="1">
        <f t="array" ref="J549">_xlfn.IFS(K549&lt;30,"Young Adult",K549&lt;=50,"Adult",K549&gt;50,"Senior")</f>
        <v>Adult</v>
      </c>
      <c r="K549" s="4">
        <v>39</v>
      </c>
      <c r="L549" s="4" t="s">
        <v>7</v>
      </c>
      <c r="M549" s="4">
        <v>4</v>
      </c>
      <c r="N549" s="19">
        <v>50</v>
      </c>
      <c r="O549" s="15">
        <f>M549 * N549</f>
        <v>200</v>
      </c>
      <c r="P549" s="15">
        <f>O549*$S$3</f>
        <v>3</v>
      </c>
      <c r="Q549" s="15">
        <f>O549*$S$4</f>
        <v>4</v>
      </c>
    </row>
    <row r="550" spans="1:17">
      <c r="A550" s="2">
        <v>321</v>
      </c>
      <c r="B550" s="4">
        <f>DAY(G550)</f>
        <v>10</v>
      </c>
      <c r="C550" s="4">
        <f>MONTH(G550)</f>
        <v>6</v>
      </c>
      <c r="D550" s="4">
        <f>YEAR(G550)</f>
        <v>2023</v>
      </c>
      <c r="E550" s="4" t="str">
        <f>TEXT(G550,"dddd")</f>
        <v>Saturday</v>
      </c>
      <c r="F550" s="4" t="str">
        <f>TEXT(G550,"mmm")</f>
        <v>Jun</v>
      </c>
      <c r="G550" s="3">
        <v>45087</v>
      </c>
      <c r="H550" s="4" t="s">
        <v>583</v>
      </c>
      <c r="I550" s="4" t="s">
        <v>29</v>
      </c>
      <c r="J550" s="4" t="str" cm="1">
        <f t="array" ref="J550">_xlfn.IFS(K550&lt;30,"Young Adult",K550&lt;=50,"Adult",K550&gt;50,"Senior")</f>
        <v>Young Adult</v>
      </c>
      <c r="K550" s="4">
        <v>26</v>
      </c>
      <c r="L550" s="4" t="s">
        <v>9</v>
      </c>
      <c r="M550" s="4">
        <v>2</v>
      </c>
      <c r="N550" s="19">
        <v>25</v>
      </c>
      <c r="O550" s="15">
        <f>M550 * N550</f>
        <v>50</v>
      </c>
      <c r="P550" s="15">
        <f>O550*$S$3</f>
        <v>0.75</v>
      </c>
      <c r="Q550" s="15">
        <f>O550*$S$4</f>
        <v>1</v>
      </c>
    </row>
    <row r="551" spans="1:17">
      <c r="A551" s="2">
        <v>765</v>
      </c>
      <c r="B551" s="4">
        <f>DAY(G551)</f>
        <v>9</v>
      </c>
      <c r="C551" s="4">
        <f>MONTH(G551)</f>
        <v>6</v>
      </c>
      <c r="D551" s="4">
        <f>YEAR(G551)</f>
        <v>2023</v>
      </c>
      <c r="E551" s="4" t="str">
        <f>TEXT(G551,"dddd")</f>
        <v>Friday</v>
      </c>
      <c r="F551" s="4" t="str">
        <f>TEXT(G551,"mmm")</f>
        <v>Jun</v>
      </c>
      <c r="G551" s="3">
        <v>45086</v>
      </c>
      <c r="H551" s="4" t="s">
        <v>584</v>
      </c>
      <c r="I551" s="4" t="s">
        <v>24</v>
      </c>
      <c r="J551" s="4" t="str" cm="1">
        <f t="array" ref="J551">_xlfn.IFS(K551&lt;30,"Young Adult",K551&lt;=50,"Adult",K551&gt;50,"Senior")</f>
        <v>Adult</v>
      </c>
      <c r="K551" s="4">
        <v>43</v>
      </c>
      <c r="L551" s="4" t="s">
        <v>8</v>
      </c>
      <c r="M551" s="4">
        <v>4</v>
      </c>
      <c r="N551" s="19">
        <v>50</v>
      </c>
      <c r="O551" s="15">
        <f>M551 * N551</f>
        <v>200</v>
      </c>
      <c r="P551" s="15">
        <f>O551*$S$3</f>
        <v>3</v>
      </c>
      <c r="Q551" s="15">
        <f>O551*$S$4</f>
        <v>4</v>
      </c>
    </row>
    <row r="552" spans="1:17">
      <c r="A552" s="2">
        <v>769</v>
      </c>
      <c r="B552" s="4">
        <f>DAY(G552)</f>
        <v>9</v>
      </c>
      <c r="C552" s="4">
        <f>MONTH(G552)</f>
        <v>6</v>
      </c>
      <c r="D552" s="4">
        <f>YEAR(G552)</f>
        <v>2023</v>
      </c>
      <c r="E552" s="4" t="str">
        <f>TEXT(G552,"dddd")</f>
        <v>Friday</v>
      </c>
      <c r="F552" s="4" t="str">
        <f>TEXT(G552,"mmm")</f>
        <v>Jun</v>
      </c>
      <c r="G552" s="3">
        <v>45086</v>
      </c>
      <c r="H552" s="4" t="s">
        <v>585</v>
      </c>
      <c r="I552" s="4" t="s">
        <v>29</v>
      </c>
      <c r="J552" s="4" t="str" cm="1">
        <f t="array" ref="J552">_xlfn.IFS(K552&lt;30,"Young Adult",K552&lt;=50,"Adult",K552&gt;50,"Senior")</f>
        <v>Adult</v>
      </c>
      <c r="K552" s="4">
        <v>31</v>
      </c>
      <c r="L552" s="4" t="s">
        <v>9</v>
      </c>
      <c r="M552" s="4">
        <v>4</v>
      </c>
      <c r="N552" s="19">
        <v>30</v>
      </c>
      <c r="O552" s="15">
        <f>M552 * N552</f>
        <v>120</v>
      </c>
      <c r="P552" s="15">
        <f>O552*$S$3</f>
        <v>1.7999999999999998</v>
      </c>
      <c r="Q552" s="15">
        <f>O552*$S$4</f>
        <v>2.4</v>
      </c>
    </row>
    <row r="553" spans="1:17">
      <c r="A553" s="2">
        <v>212</v>
      </c>
      <c r="B553" s="4">
        <f>DAY(G553)</f>
        <v>9</v>
      </c>
      <c r="C553" s="4">
        <f>MONTH(G553)</f>
        <v>6</v>
      </c>
      <c r="D553" s="4">
        <f>YEAR(G553)</f>
        <v>2023</v>
      </c>
      <c r="E553" s="4" t="str">
        <f>TEXT(G553,"dddd")</f>
        <v>Friday</v>
      </c>
      <c r="F553" s="4" t="str">
        <f>TEXT(G553,"mmm")</f>
        <v>Jun</v>
      </c>
      <c r="G553" s="3">
        <v>45086</v>
      </c>
      <c r="H553" s="4" t="s">
        <v>586</v>
      </c>
      <c r="I553" s="4" t="s">
        <v>24</v>
      </c>
      <c r="J553" s="4" t="str" cm="1">
        <f t="array" ref="J553">_xlfn.IFS(K553&lt;30,"Young Adult",K553&lt;=50,"Adult",K553&gt;50,"Senior")</f>
        <v>Young Adult</v>
      </c>
      <c r="K553" s="4">
        <v>21</v>
      </c>
      <c r="L553" s="4" t="s">
        <v>8</v>
      </c>
      <c r="M553" s="4">
        <v>3</v>
      </c>
      <c r="N553" s="19">
        <v>500</v>
      </c>
      <c r="O553" s="15">
        <f>M553 * N553</f>
        <v>1500</v>
      </c>
      <c r="P553" s="15">
        <f>O553*$S$3</f>
        <v>22.5</v>
      </c>
      <c r="Q553" s="15">
        <f>O553*$S$4</f>
        <v>30</v>
      </c>
    </row>
    <row r="554" spans="1:17">
      <c r="A554" s="2">
        <v>587</v>
      </c>
      <c r="B554" s="4">
        <f>DAY(G554)</f>
        <v>8</v>
      </c>
      <c r="C554" s="4">
        <f>MONTH(G554)</f>
        <v>6</v>
      </c>
      <c r="D554" s="4">
        <f>YEAR(G554)</f>
        <v>2023</v>
      </c>
      <c r="E554" s="4" t="str">
        <f>TEXT(G554,"dddd")</f>
        <v>Thursday</v>
      </c>
      <c r="F554" s="4" t="str">
        <f>TEXT(G554,"mmm")</f>
        <v>Jun</v>
      </c>
      <c r="G554" s="3">
        <v>45085</v>
      </c>
      <c r="H554" s="4" t="s">
        <v>587</v>
      </c>
      <c r="I554" s="4" t="s">
        <v>29</v>
      </c>
      <c r="J554" s="4" t="str" cm="1">
        <f t="array" ref="J554">_xlfn.IFS(K554&lt;30,"Young Adult",K554&lt;=50,"Adult",K554&gt;50,"Senior")</f>
        <v>Adult</v>
      </c>
      <c r="K554" s="4">
        <v>40</v>
      </c>
      <c r="L554" s="4" t="s">
        <v>7</v>
      </c>
      <c r="M554" s="4">
        <v>4</v>
      </c>
      <c r="N554" s="19">
        <v>300</v>
      </c>
      <c r="O554" s="15">
        <f>M554 * N554</f>
        <v>1200</v>
      </c>
      <c r="P554" s="15">
        <f>O554*$S$3</f>
        <v>18</v>
      </c>
      <c r="Q554" s="15">
        <f>O554*$S$4</f>
        <v>24</v>
      </c>
    </row>
    <row r="555" spans="1:17">
      <c r="A555" s="2">
        <v>539</v>
      </c>
      <c r="B555" s="4">
        <f>DAY(G555)</f>
        <v>8</v>
      </c>
      <c r="C555" s="4">
        <f>MONTH(G555)</f>
        <v>6</v>
      </c>
      <c r="D555" s="4">
        <f>YEAR(G555)</f>
        <v>2023</v>
      </c>
      <c r="E555" s="4" t="str">
        <f>TEXT(G555,"dddd")</f>
        <v>Thursday</v>
      </c>
      <c r="F555" s="4" t="str">
        <f>TEXT(G555,"mmm")</f>
        <v>Jun</v>
      </c>
      <c r="G555" s="3">
        <v>45085</v>
      </c>
      <c r="H555" s="4" t="s">
        <v>588</v>
      </c>
      <c r="I555" s="4" t="s">
        <v>24</v>
      </c>
      <c r="J555" s="4" t="str" cm="1">
        <f t="array" ref="J555">_xlfn.IFS(K555&lt;30,"Young Adult",K555&lt;=50,"Adult",K555&gt;50,"Senior")</f>
        <v>Young Adult</v>
      </c>
      <c r="K555" s="4">
        <v>25</v>
      </c>
      <c r="L555" s="4" t="s">
        <v>7</v>
      </c>
      <c r="M555" s="4">
        <v>1</v>
      </c>
      <c r="N555" s="19">
        <v>500</v>
      </c>
      <c r="O555" s="15">
        <f>M555 * N555</f>
        <v>500</v>
      </c>
      <c r="P555" s="15">
        <f>O555*$S$3</f>
        <v>7.5</v>
      </c>
      <c r="Q555" s="15">
        <f>O555*$S$4</f>
        <v>10</v>
      </c>
    </row>
    <row r="556" spans="1:17">
      <c r="A556" s="2">
        <v>187</v>
      </c>
      <c r="B556" s="4">
        <f>DAY(G556)</f>
        <v>7</v>
      </c>
      <c r="C556" s="4">
        <f>MONTH(G556)</f>
        <v>6</v>
      </c>
      <c r="D556" s="4">
        <f>YEAR(G556)</f>
        <v>2023</v>
      </c>
      <c r="E556" s="4" t="str">
        <f>TEXT(G556,"dddd")</f>
        <v>Wednesday</v>
      </c>
      <c r="F556" s="4" t="str">
        <f>TEXT(G556,"mmm")</f>
        <v>Jun</v>
      </c>
      <c r="G556" s="3">
        <v>45084</v>
      </c>
      <c r="H556" s="4" t="s">
        <v>589</v>
      </c>
      <c r="I556" s="4" t="s">
        <v>29</v>
      </c>
      <c r="J556" s="4" t="str" cm="1">
        <f t="array" ref="J556">_xlfn.IFS(K556&lt;30,"Young Adult",K556&lt;=50,"Adult",K556&gt;50,"Senior")</f>
        <v>Senior</v>
      </c>
      <c r="K556" s="4">
        <v>64</v>
      </c>
      <c r="L556" s="4" t="s">
        <v>8</v>
      </c>
      <c r="M556" s="4">
        <v>2</v>
      </c>
      <c r="N556" s="19">
        <v>50</v>
      </c>
      <c r="O556" s="15">
        <f>M556 * N556</f>
        <v>100</v>
      </c>
      <c r="P556" s="15">
        <f>O556*$S$3</f>
        <v>1.5</v>
      </c>
      <c r="Q556" s="15">
        <f>O556*$S$4</f>
        <v>2</v>
      </c>
    </row>
    <row r="557" spans="1:17">
      <c r="A557" s="2">
        <v>446</v>
      </c>
      <c r="B557" s="4">
        <f>DAY(G557)</f>
        <v>7</v>
      </c>
      <c r="C557" s="4">
        <f>MONTH(G557)</f>
        <v>6</v>
      </c>
      <c r="D557" s="4">
        <f>YEAR(G557)</f>
        <v>2023</v>
      </c>
      <c r="E557" s="4" t="str">
        <f>TEXT(G557,"dddd")</f>
        <v>Wednesday</v>
      </c>
      <c r="F557" s="4" t="str">
        <f>TEXT(G557,"mmm")</f>
        <v>Jun</v>
      </c>
      <c r="G557" s="3">
        <v>45084</v>
      </c>
      <c r="H557" s="4" t="s">
        <v>590</v>
      </c>
      <c r="I557" s="4" t="s">
        <v>24</v>
      </c>
      <c r="J557" s="4" t="str" cm="1">
        <f t="array" ref="J557">_xlfn.IFS(K557&lt;30,"Young Adult",K557&lt;=50,"Adult",K557&gt;50,"Senior")</f>
        <v>Young Adult</v>
      </c>
      <c r="K557" s="4">
        <v>21</v>
      </c>
      <c r="L557" s="4" t="s">
        <v>9</v>
      </c>
      <c r="M557" s="4">
        <v>1</v>
      </c>
      <c r="N557" s="19">
        <v>50</v>
      </c>
      <c r="O557" s="15">
        <f>M557 * N557</f>
        <v>50</v>
      </c>
      <c r="P557" s="15">
        <f>O557*$S$3</f>
        <v>0.75</v>
      </c>
      <c r="Q557" s="15">
        <f>O557*$S$4</f>
        <v>1</v>
      </c>
    </row>
    <row r="558" spans="1:17">
      <c r="A558" s="2">
        <v>882</v>
      </c>
      <c r="B558" s="4">
        <f>DAY(G558)</f>
        <v>6</v>
      </c>
      <c r="C558" s="4">
        <f>MONTH(G558)</f>
        <v>6</v>
      </c>
      <c r="D558" s="4">
        <f>YEAR(G558)</f>
        <v>2023</v>
      </c>
      <c r="E558" s="4" t="str">
        <f>TEXT(G558,"dddd")</f>
        <v>Tuesday</v>
      </c>
      <c r="F558" s="4" t="str">
        <f>TEXT(G558,"mmm")</f>
        <v>Jun</v>
      </c>
      <c r="G558" s="3">
        <v>45083</v>
      </c>
      <c r="H558" s="4" t="s">
        <v>591</v>
      </c>
      <c r="I558" s="4" t="s">
        <v>29</v>
      </c>
      <c r="J558" s="4" t="str" cm="1">
        <f t="array" ref="J558">_xlfn.IFS(K558&lt;30,"Young Adult",K558&lt;=50,"Adult",K558&gt;50,"Senior")</f>
        <v>Senior</v>
      </c>
      <c r="K558" s="4">
        <v>64</v>
      </c>
      <c r="L558" s="4" t="s">
        <v>9</v>
      </c>
      <c r="M558" s="4">
        <v>2</v>
      </c>
      <c r="N558" s="19">
        <v>25</v>
      </c>
      <c r="O558" s="15">
        <f>M558 * N558</f>
        <v>50</v>
      </c>
      <c r="P558" s="15">
        <f>O558*$S$3</f>
        <v>0.75</v>
      </c>
      <c r="Q558" s="15">
        <f>O558*$S$4</f>
        <v>1</v>
      </c>
    </row>
    <row r="559" spans="1:17">
      <c r="A559" s="2">
        <v>961</v>
      </c>
      <c r="B559" s="4">
        <f>DAY(G559)</f>
        <v>6</v>
      </c>
      <c r="C559" s="4">
        <f>MONTH(G559)</f>
        <v>6</v>
      </c>
      <c r="D559" s="4">
        <f>YEAR(G559)</f>
        <v>2023</v>
      </c>
      <c r="E559" s="4" t="str">
        <f>TEXT(G559,"dddd")</f>
        <v>Tuesday</v>
      </c>
      <c r="F559" s="4" t="str">
        <f>TEXT(G559,"mmm")</f>
        <v>Jun</v>
      </c>
      <c r="G559" s="3">
        <v>45083</v>
      </c>
      <c r="H559" s="4" t="s">
        <v>592</v>
      </c>
      <c r="I559" s="4" t="s">
        <v>24</v>
      </c>
      <c r="J559" s="4" t="str" cm="1">
        <f t="array" ref="J559">_xlfn.IFS(K559&lt;30,"Young Adult",K559&lt;=50,"Adult",K559&gt;50,"Senior")</f>
        <v>Senior</v>
      </c>
      <c r="K559" s="4">
        <v>53</v>
      </c>
      <c r="L559" s="4" t="s">
        <v>7</v>
      </c>
      <c r="M559" s="4">
        <v>4</v>
      </c>
      <c r="N559" s="19">
        <v>50</v>
      </c>
      <c r="O559" s="15">
        <f>M559 * N559</f>
        <v>200</v>
      </c>
      <c r="P559" s="15">
        <f>O559*$S$3</f>
        <v>3</v>
      </c>
      <c r="Q559" s="15">
        <f>O559*$S$4</f>
        <v>4</v>
      </c>
    </row>
    <row r="560" spans="1:17">
      <c r="A560" s="2">
        <v>481</v>
      </c>
      <c r="B560" s="4">
        <f>DAY(G560)</f>
        <v>6</v>
      </c>
      <c r="C560" s="4">
        <f>MONTH(G560)</f>
        <v>6</v>
      </c>
      <c r="D560" s="4">
        <f>YEAR(G560)</f>
        <v>2023</v>
      </c>
      <c r="E560" s="4" t="str">
        <f>TEXT(G560,"dddd")</f>
        <v>Tuesday</v>
      </c>
      <c r="F560" s="4" t="str">
        <f>TEXT(G560,"mmm")</f>
        <v>Jun</v>
      </c>
      <c r="G560" s="3">
        <v>45083</v>
      </c>
      <c r="H560" s="4" t="s">
        <v>593</v>
      </c>
      <c r="I560" s="4" t="s">
        <v>29</v>
      </c>
      <c r="J560" s="4" t="str" cm="1">
        <f t="array" ref="J560">_xlfn.IFS(K560&lt;30,"Young Adult",K560&lt;=50,"Adult",K560&gt;50,"Senior")</f>
        <v>Adult</v>
      </c>
      <c r="K560" s="4">
        <v>43</v>
      </c>
      <c r="L560" s="4" t="s">
        <v>9</v>
      </c>
      <c r="M560" s="4">
        <v>4</v>
      </c>
      <c r="N560" s="19">
        <v>300</v>
      </c>
      <c r="O560" s="15">
        <f>M560 * N560</f>
        <v>1200</v>
      </c>
      <c r="P560" s="15">
        <f>O560*$S$3</f>
        <v>18</v>
      </c>
      <c r="Q560" s="15">
        <f>O560*$S$4</f>
        <v>24</v>
      </c>
    </row>
    <row r="561" spans="1:17">
      <c r="A561" s="2">
        <v>867</v>
      </c>
      <c r="B561" s="4">
        <f>DAY(G561)</f>
        <v>6</v>
      </c>
      <c r="C561" s="4">
        <f>MONTH(G561)</f>
        <v>6</v>
      </c>
      <c r="D561" s="4">
        <f>YEAR(G561)</f>
        <v>2023</v>
      </c>
      <c r="E561" s="4" t="str">
        <f>TEXT(G561,"dddd")</f>
        <v>Tuesday</v>
      </c>
      <c r="F561" s="4" t="str">
        <f>TEXT(G561,"mmm")</f>
        <v>Jun</v>
      </c>
      <c r="G561" s="3">
        <v>45083</v>
      </c>
      <c r="H561" s="4" t="s">
        <v>594</v>
      </c>
      <c r="I561" s="4" t="s">
        <v>24</v>
      </c>
      <c r="J561" s="4" t="str" cm="1">
        <f t="array" ref="J561">_xlfn.IFS(K561&lt;30,"Young Adult",K561&lt;=50,"Adult",K561&gt;50,"Senior")</f>
        <v>Young Adult</v>
      </c>
      <c r="K561" s="4">
        <v>21</v>
      </c>
      <c r="L561" s="4" t="s">
        <v>9</v>
      </c>
      <c r="M561" s="4">
        <v>1</v>
      </c>
      <c r="N561" s="19">
        <v>500</v>
      </c>
      <c r="O561" s="15">
        <f>M561 * N561</f>
        <v>500</v>
      </c>
      <c r="P561" s="15">
        <f>O561*$S$3</f>
        <v>7.5</v>
      </c>
      <c r="Q561" s="15">
        <f>O561*$S$4</f>
        <v>10</v>
      </c>
    </row>
    <row r="562" spans="1:17">
      <c r="A562" s="2">
        <v>944</v>
      </c>
      <c r="B562" s="4">
        <f>DAY(G562)</f>
        <v>5</v>
      </c>
      <c r="C562" s="4">
        <f>MONTH(G562)</f>
        <v>6</v>
      </c>
      <c r="D562" s="4">
        <f>YEAR(G562)</f>
        <v>2023</v>
      </c>
      <c r="E562" s="4" t="str">
        <f>TEXT(G562,"dddd")</f>
        <v>Monday</v>
      </c>
      <c r="F562" s="4" t="str">
        <f>TEXT(G562,"mmm")</f>
        <v>Jun</v>
      </c>
      <c r="G562" s="3">
        <v>45082</v>
      </c>
      <c r="H562" s="4" t="s">
        <v>595</v>
      </c>
      <c r="I562" s="4" t="s">
        <v>24</v>
      </c>
      <c r="J562" s="4" t="str" cm="1">
        <f t="array" ref="J562">_xlfn.IFS(K562&lt;30,"Young Adult",K562&lt;=50,"Adult",K562&gt;50,"Senior")</f>
        <v>Adult</v>
      </c>
      <c r="K562" s="4">
        <v>44</v>
      </c>
      <c r="L562" s="4" t="s">
        <v>8</v>
      </c>
      <c r="M562" s="4">
        <v>2</v>
      </c>
      <c r="N562" s="19">
        <v>25</v>
      </c>
      <c r="O562" s="15">
        <f>M562 * N562</f>
        <v>50</v>
      </c>
      <c r="P562" s="15">
        <f>O562*$S$3</f>
        <v>0.75</v>
      </c>
      <c r="Q562" s="15">
        <f>O562*$S$4</f>
        <v>1</v>
      </c>
    </row>
    <row r="563" spans="1:17">
      <c r="A563" s="2">
        <v>560</v>
      </c>
      <c r="B563" s="4">
        <f>DAY(G563)</f>
        <v>5</v>
      </c>
      <c r="C563" s="4">
        <f>MONTH(G563)</f>
        <v>6</v>
      </c>
      <c r="D563" s="4">
        <f>YEAR(G563)</f>
        <v>2023</v>
      </c>
      <c r="E563" s="4" t="str">
        <f>TEXT(G563,"dddd")</f>
        <v>Monday</v>
      </c>
      <c r="F563" s="4" t="str">
        <f>TEXT(G563,"mmm")</f>
        <v>Jun</v>
      </c>
      <c r="G563" s="3">
        <v>45082</v>
      </c>
      <c r="H563" s="4" t="s">
        <v>596</v>
      </c>
      <c r="I563" s="4" t="s">
        <v>29</v>
      </c>
      <c r="J563" s="4" t="str" cm="1">
        <f t="array" ref="J563">_xlfn.IFS(K563&lt;30,"Young Adult",K563&lt;=50,"Adult",K563&gt;50,"Senior")</f>
        <v>Young Adult</v>
      </c>
      <c r="K563" s="4">
        <v>25</v>
      </c>
      <c r="L563" s="4" t="s">
        <v>9</v>
      </c>
      <c r="M563" s="4">
        <v>1</v>
      </c>
      <c r="N563" s="19">
        <v>50</v>
      </c>
      <c r="O563" s="15">
        <f>M563 * N563</f>
        <v>50</v>
      </c>
      <c r="P563" s="15">
        <f>O563*$S$3</f>
        <v>0.75</v>
      </c>
      <c r="Q563" s="15">
        <f>O563*$S$4</f>
        <v>1</v>
      </c>
    </row>
    <row r="564" spans="1:17">
      <c r="A564" s="2">
        <v>782</v>
      </c>
      <c r="B564" s="4">
        <f>DAY(G564)</f>
        <v>4</v>
      </c>
      <c r="C564" s="4">
        <f>MONTH(G564)</f>
        <v>6</v>
      </c>
      <c r="D564" s="4">
        <f>YEAR(G564)</f>
        <v>2023</v>
      </c>
      <c r="E564" s="4" t="str">
        <f>TEXT(G564,"dddd")</f>
        <v>Sunday</v>
      </c>
      <c r="F564" s="4" t="str">
        <f>TEXT(G564,"mmm")</f>
        <v>Jun</v>
      </c>
      <c r="G564" s="3">
        <v>45081</v>
      </c>
      <c r="H564" s="4" t="s">
        <v>597</v>
      </c>
      <c r="I564" s="4" t="s">
        <v>24</v>
      </c>
      <c r="J564" s="4" t="str" cm="1">
        <f t="array" ref="J564">_xlfn.IFS(K564&lt;30,"Young Adult",K564&lt;=50,"Adult",K564&gt;50,"Senior")</f>
        <v>Senior</v>
      </c>
      <c r="K564" s="4">
        <v>59</v>
      </c>
      <c r="L564" s="4" t="s">
        <v>8</v>
      </c>
      <c r="M564" s="4">
        <v>3</v>
      </c>
      <c r="N564" s="19">
        <v>300</v>
      </c>
      <c r="O564" s="15">
        <f>M564 * N564</f>
        <v>900</v>
      </c>
      <c r="P564" s="15">
        <f>O564*$S$3</f>
        <v>13.5</v>
      </c>
      <c r="Q564" s="15">
        <f>O564*$S$4</f>
        <v>18</v>
      </c>
    </row>
    <row r="565" spans="1:17">
      <c r="A565" s="2">
        <v>387</v>
      </c>
      <c r="B565" s="4">
        <f>DAY(G565)</f>
        <v>4</v>
      </c>
      <c r="C565" s="4">
        <f>MONTH(G565)</f>
        <v>6</v>
      </c>
      <c r="D565" s="4">
        <f>YEAR(G565)</f>
        <v>2023</v>
      </c>
      <c r="E565" s="4" t="str">
        <f>TEXT(G565,"dddd")</f>
        <v>Sunday</v>
      </c>
      <c r="F565" s="4" t="str">
        <f>TEXT(G565,"mmm")</f>
        <v>Jun</v>
      </c>
      <c r="G565" s="3">
        <v>45081</v>
      </c>
      <c r="H565" s="4" t="s">
        <v>598</v>
      </c>
      <c r="I565" s="4" t="s">
        <v>24</v>
      </c>
      <c r="J565" s="4" t="str" cm="1">
        <f t="array" ref="J565">_xlfn.IFS(K565&lt;30,"Young Adult",K565&lt;=50,"Adult",K565&gt;50,"Senior")</f>
        <v>Adult</v>
      </c>
      <c r="K565" s="4">
        <v>44</v>
      </c>
      <c r="L565" s="4" t="s">
        <v>7</v>
      </c>
      <c r="M565" s="4">
        <v>1</v>
      </c>
      <c r="N565" s="19">
        <v>30</v>
      </c>
      <c r="O565" s="15">
        <f>M565 * N565</f>
        <v>30</v>
      </c>
      <c r="P565" s="15">
        <f>O565*$S$3</f>
        <v>0.44999999999999996</v>
      </c>
      <c r="Q565" s="15">
        <f>O565*$S$4</f>
        <v>0.6</v>
      </c>
    </row>
    <row r="566" spans="1:17">
      <c r="A566" s="2">
        <v>906</v>
      </c>
      <c r="B566" s="4">
        <f>DAY(G566)</f>
        <v>4</v>
      </c>
      <c r="C566" s="4">
        <f>MONTH(G566)</f>
        <v>6</v>
      </c>
      <c r="D566" s="4">
        <f>YEAR(G566)</f>
        <v>2023</v>
      </c>
      <c r="E566" s="4" t="str">
        <f>TEXT(G566,"dddd")</f>
        <v>Sunday</v>
      </c>
      <c r="F566" s="4" t="str">
        <f>TEXT(G566,"mmm")</f>
        <v>Jun</v>
      </c>
      <c r="G566" s="3">
        <v>45081</v>
      </c>
      <c r="H566" s="4" t="s">
        <v>599</v>
      </c>
      <c r="I566" s="4" t="s">
        <v>29</v>
      </c>
      <c r="J566" s="4" t="str" cm="1">
        <f t="array" ref="J566">_xlfn.IFS(K566&lt;30,"Young Adult",K566&lt;=50,"Adult",K566&gt;50,"Senior")</f>
        <v>Young Adult</v>
      </c>
      <c r="K566" s="4">
        <v>20</v>
      </c>
      <c r="L566" s="4" t="s">
        <v>8</v>
      </c>
      <c r="M566" s="4">
        <v>1</v>
      </c>
      <c r="N566" s="19">
        <v>50</v>
      </c>
      <c r="O566" s="15">
        <f>M566 * N566</f>
        <v>50</v>
      </c>
      <c r="P566" s="15">
        <f>O566*$S$3</f>
        <v>0.75</v>
      </c>
      <c r="Q566" s="15">
        <f>O566*$S$4</f>
        <v>1</v>
      </c>
    </row>
    <row r="567" spans="1:17">
      <c r="A567" s="2">
        <v>556</v>
      </c>
      <c r="B567" s="4">
        <f>DAY(G567)</f>
        <v>4</v>
      </c>
      <c r="C567" s="4">
        <f>MONTH(G567)</f>
        <v>6</v>
      </c>
      <c r="D567" s="4">
        <f>YEAR(G567)</f>
        <v>2023</v>
      </c>
      <c r="E567" s="4" t="str">
        <f>TEXT(G567,"dddd")</f>
        <v>Sunday</v>
      </c>
      <c r="F567" s="4" t="str">
        <f>TEXT(G567,"mmm")</f>
        <v>Jun</v>
      </c>
      <c r="G567" s="3">
        <v>45081</v>
      </c>
      <c r="H567" s="4" t="s">
        <v>600</v>
      </c>
      <c r="I567" s="4" t="s">
        <v>29</v>
      </c>
      <c r="J567" s="4" t="str" cm="1">
        <f t="array" ref="J567">_xlfn.IFS(K567&lt;30,"Young Adult",K567&lt;=50,"Adult",K567&gt;50,"Senior")</f>
        <v>Young Adult</v>
      </c>
      <c r="K567" s="4">
        <v>18</v>
      </c>
      <c r="L567" s="4" t="s">
        <v>9</v>
      </c>
      <c r="M567" s="4">
        <v>1</v>
      </c>
      <c r="N567" s="19">
        <v>50</v>
      </c>
      <c r="O567" s="15">
        <f>M567 * N567</f>
        <v>50</v>
      </c>
      <c r="P567" s="15">
        <f>O567*$S$3</f>
        <v>0.75</v>
      </c>
      <c r="Q567" s="15">
        <f>O567*$S$4</f>
        <v>1</v>
      </c>
    </row>
    <row r="568" spans="1:17">
      <c r="A568" s="2">
        <v>363</v>
      </c>
      <c r="B568" s="4">
        <f>DAY(G568)</f>
        <v>3</v>
      </c>
      <c r="C568" s="4">
        <f>MONTH(G568)</f>
        <v>6</v>
      </c>
      <c r="D568" s="4">
        <f>YEAR(G568)</f>
        <v>2023</v>
      </c>
      <c r="E568" s="4" t="str">
        <f>TEXT(G568,"dddd")</f>
        <v>Saturday</v>
      </c>
      <c r="F568" s="4" t="str">
        <f>TEXT(G568,"mmm")</f>
        <v>Jun</v>
      </c>
      <c r="G568" s="3">
        <v>45080</v>
      </c>
      <c r="H568" s="4" t="s">
        <v>601</v>
      </c>
      <c r="I568" s="4" t="s">
        <v>24</v>
      </c>
      <c r="J568" s="4" t="str" cm="1">
        <f t="array" ref="J568">_xlfn.IFS(K568&lt;30,"Young Adult",K568&lt;=50,"Adult",K568&gt;50,"Senior")</f>
        <v>Senior</v>
      </c>
      <c r="K568" s="4">
        <v>64</v>
      </c>
      <c r="L568" s="4" t="s">
        <v>7</v>
      </c>
      <c r="M568" s="4">
        <v>1</v>
      </c>
      <c r="N568" s="19">
        <v>25</v>
      </c>
      <c r="O568" s="15">
        <f>M568 * N568</f>
        <v>25</v>
      </c>
      <c r="P568" s="15">
        <f>O568*$S$3</f>
        <v>0.375</v>
      </c>
      <c r="Q568" s="15">
        <f>O568*$S$4</f>
        <v>0.5</v>
      </c>
    </row>
    <row r="569" spans="1:17">
      <c r="A569" s="2">
        <v>394</v>
      </c>
      <c r="B569" s="4">
        <f>DAY(G569)</f>
        <v>3</v>
      </c>
      <c r="C569" s="4">
        <f>MONTH(G569)</f>
        <v>6</v>
      </c>
      <c r="D569" s="4">
        <f>YEAR(G569)</f>
        <v>2023</v>
      </c>
      <c r="E569" s="4" t="str">
        <f>TEXT(G569,"dddd")</f>
        <v>Saturday</v>
      </c>
      <c r="F569" s="4" t="str">
        <f>TEXT(G569,"mmm")</f>
        <v>Jun</v>
      </c>
      <c r="G569" s="3">
        <v>45080</v>
      </c>
      <c r="H569" s="4" t="s">
        <v>602</v>
      </c>
      <c r="I569" s="4" t="s">
        <v>29</v>
      </c>
      <c r="J569" s="4" t="str" cm="1">
        <f t="array" ref="J569">_xlfn.IFS(K569&lt;30,"Young Adult",K569&lt;=50,"Adult",K569&gt;50,"Senior")</f>
        <v>Young Adult</v>
      </c>
      <c r="K569" s="4">
        <v>27</v>
      </c>
      <c r="L569" s="4" t="s">
        <v>8</v>
      </c>
      <c r="M569" s="4">
        <v>1</v>
      </c>
      <c r="N569" s="19">
        <v>500</v>
      </c>
      <c r="O569" s="15">
        <f>M569 * N569</f>
        <v>500</v>
      </c>
      <c r="P569" s="15">
        <f>O569*$S$3</f>
        <v>7.5</v>
      </c>
      <c r="Q569" s="15">
        <f>O569*$S$4</f>
        <v>10</v>
      </c>
    </row>
    <row r="570" spans="1:17">
      <c r="A570" s="2">
        <v>537</v>
      </c>
      <c r="B570" s="4">
        <f>DAY(G570)</f>
        <v>3</v>
      </c>
      <c r="C570" s="4">
        <f>MONTH(G570)</f>
        <v>6</v>
      </c>
      <c r="D570" s="4">
        <f>YEAR(G570)</f>
        <v>2023</v>
      </c>
      <c r="E570" s="4" t="str">
        <f>TEXT(G570,"dddd")</f>
        <v>Saturday</v>
      </c>
      <c r="F570" s="4" t="str">
        <f>TEXT(G570,"mmm")</f>
        <v>Jun</v>
      </c>
      <c r="G570" s="3">
        <v>45080</v>
      </c>
      <c r="H570" s="4" t="s">
        <v>603</v>
      </c>
      <c r="I570" s="4" t="s">
        <v>29</v>
      </c>
      <c r="J570" s="4" t="str" cm="1">
        <f t="array" ref="J570">_xlfn.IFS(K570&lt;30,"Young Adult",K570&lt;=50,"Adult",K570&gt;50,"Senior")</f>
        <v>Young Adult</v>
      </c>
      <c r="K570" s="4">
        <v>21</v>
      </c>
      <c r="L570" s="4" t="s">
        <v>7</v>
      </c>
      <c r="M570" s="4">
        <v>1</v>
      </c>
      <c r="N570" s="19">
        <v>500</v>
      </c>
      <c r="O570" s="15">
        <f>M570 * N570</f>
        <v>500</v>
      </c>
      <c r="P570" s="15">
        <f>O570*$S$3</f>
        <v>7.5</v>
      </c>
      <c r="Q570" s="15">
        <f>O570*$S$4</f>
        <v>10</v>
      </c>
    </row>
    <row r="571" spans="1:17">
      <c r="A571" s="2">
        <v>958</v>
      </c>
      <c r="B571" s="4">
        <f>DAY(G571)</f>
        <v>2</v>
      </c>
      <c r="C571" s="4">
        <f>MONTH(G571)</f>
        <v>6</v>
      </c>
      <c r="D571" s="4">
        <f>YEAR(G571)</f>
        <v>2023</v>
      </c>
      <c r="E571" s="4" t="str">
        <f>TEXT(G571,"dddd")</f>
        <v>Friday</v>
      </c>
      <c r="F571" s="4" t="str">
        <f>TEXT(G571,"mmm")</f>
        <v>Jun</v>
      </c>
      <c r="G571" s="3">
        <v>45079</v>
      </c>
      <c r="H571" s="4" t="s">
        <v>604</v>
      </c>
      <c r="I571" s="4" t="s">
        <v>24</v>
      </c>
      <c r="J571" s="4" t="str" cm="1">
        <f t="array" ref="J571">_xlfn.IFS(K571&lt;30,"Young Adult",K571&lt;=50,"Adult",K571&gt;50,"Senior")</f>
        <v>Senior</v>
      </c>
      <c r="K571" s="4">
        <v>62</v>
      </c>
      <c r="L571" s="4" t="s">
        <v>9</v>
      </c>
      <c r="M571" s="4">
        <v>2</v>
      </c>
      <c r="N571" s="19">
        <v>25</v>
      </c>
      <c r="O571" s="15">
        <f>M571 * N571</f>
        <v>50</v>
      </c>
      <c r="P571" s="15">
        <f>O571*$S$3</f>
        <v>0.75</v>
      </c>
      <c r="Q571" s="15">
        <f>O571*$S$4</f>
        <v>1</v>
      </c>
    </row>
    <row r="572" spans="1:17">
      <c r="A572" s="2">
        <v>685</v>
      </c>
      <c r="B572" s="4">
        <f>DAY(G572)</f>
        <v>2</v>
      </c>
      <c r="C572" s="4">
        <f>MONTH(G572)</f>
        <v>6</v>
      </c>
      <c r="D572" s="4">
        <f>YEAR(G572)</f>
        <v>2023</v>
      </c>
      <c r="E572" s="4" t="str">
        <f>TEXT(G572,"dddd")</f>
        <v>Friday</v>
      </c>
      <c r="F572" s="4" t="str">
        <f>TEXT(G572,"mmm")</f>
        <v>Jun</v>
      </c>
      <c r="G572" s="3">
        <v>45079</v>
      </c>
      <c r="H572" s="4" t="s">
        <v>605</v>
      </c>
      <c r="I572" s="4" t="s">
        <v>24</v>
      </c>
      <c r="J572" s="4" t="str" cm="1">
        <f t="array" ref="J572">_xlfn.IFS(K572&lt;30,"Young Adult",K572&lt;=50,"Adult",K572&gt;50,"Senior")</f>
        <v>Senior</v>
      </c>
      <c r="K572" s="4">
        <v>57</v>
      </c>
      <c r="L572" s="4" t="s">
        <v>9</v>
      </c>
      <c r="M572" s="4">
        <v>2</v>
      </c>
      <c r="N572" s="19">
        <v>25</v>
      </c>
      <c r="O572" s="15">
        <f>M572 * N572</f>
        <v>50</v>
      </c>
      <c r="P572" s="15">
        <f>O572*$S$3</f>
        <v>0.75</v>
      </c>
      <c r="Q572" s="15">
        <f>O572*$S$4</f>
        <v>1</v>
      </c>
    </row>
    <row r="573" spans="1:17">
      <c r="A573" s="2">
        <v>170</v>
      </c>
      <c r="B573" s="4">
        <f>DAY(G573)</f>
        <v>2</v>
      </c>
      <c r="C573" s="4">
        <f>MONTH(G573)</f>
        <v>6</v>
      </c>
      <c r="D573" s="4">
        <f>YEAR(G573)</f>
        <v>2023</v>
      </c>
      <c r="E573" s="4" t="str">
        <f>TEXT(G573,"dddd")</f>
        <v>Friday</v>
      </c>
      <c r="F573" s="4" t="str">
        <f>TEXT(G573,"mmm")</f>
        <v>Jun</v>
      </c>
      <c r="G573" s="3">
        <v>45079</v>
      </c>
      <c r="H573" s="4" t="s">
        <v>606</v>
      </c>
      <c r="I573" s="4" t="s">
        <v>29</v>
      </c>
      <c r="J573" s="4" t="str" cm="1">
        <f t="array" ref="J573">_xlfn.IFS(K573&lt;30,"Young Adult",K573&lt;=50,"Adult",K573&gt;50,"Senior")</f>
        <v>Young Adult</v>
      </c>
      <c r="K573" s="4">
        <v>25</v>
      </c>
      <c r="L573" s="4" t="s">
        <v>8</v>
      </c>
      <c r="M573" s="4">
        <v>2</v>
      </c>
      <c r="N573" s="19">
        <v>25</v>
      </c>
      <c r="O573" s="15">
        <f>M573 * N573</f>
        <v>50</v>
      </c>
      <c r="P573" s="15">
        <f>O573*$S$3</f>
        <v>0.75</v>
      </c>
      <c r="Q573" s="15">
        <f>O573*$S$4</f>
        <v>1</v>
      </c>
    </row>
    <row r="574" spans="1:17">
      <c r="A574" s="2">
        <v>902</v>
      </c>
      <c r="B574" s="4">
        <f>DAY(G574)</f>
        <v>1</v>
      </c>
      <c r="C574" s="4">
        <f>MONTH(G574)</f>
        <v>6</v>
      </c>
      <c r="D574" s="4">
        <f>YEAR(G574)</f>
        <v>2023</v>
      </c>
      <c r="E574" s="4" t="str">
        <f>TEXT(G574,"dddd")</f>
        <v>Thursday</v>
      </c>
      <c r="F574" s="4" t="str">
        <f>TEXT(G574,"mmm")</f>
        <v>Jun</v>
      </c>
      <c r="G574" s="3">
        <v>45078</v>
      </c>
      <c r="H574" s="4" t="s">
        <v>607</v>
      </c>
      <c r="I574" s="4" t="s">
        <v>29</v>
      </c>
      <c r="J574" s="4" t="str" cm="1">
        <f t="array" ref="J574">_xlfn.IFS(K574&lt;30,"Young Adult",K574&lt;=50,"Adult",K574&gt;50,"Senior")</f>
        <v>Senior</v>
      </c>
      <c r="K574" s="4">
        <v>54</v>
      </c>
      <c r="L574" s="4" t="s">
        <v>7</v>
      </c>
      <c r="M574" s="4">
        <v>1</v>
      </c>
      <c r="N574" s="19">
        <v>50</v>
      </c>
      <c r="O574" s="15">
        <f>M574 * N574</f>
        <v>50</v>
      </c>
      <c r="P574" s="15">
        <f>O574*$S$3</f>
        <v>0.75</v>
      </c>
      <c r="Q574" s="15">
        <f>O574*$S$4</f>
        <v>1</v>
      </c>
    </row>
    <row r="575" spans="1:17">
      <c r="A575" s="2">
        <v>315</v>
      </c>
      <c r="B575" s="4">
        <f>DAY(G575)</f>
        <v>1</v>
      </c>
      <c r="C575" s="4">
        <f>MONTH(G575)</f>
        <v>6</v>
      </c>
      <c r="D575" s="4">
        <f>YEAR(G575)</f>
        <v>2023</v>
      </c>
      <c r="E575" s="4" t="str">
        <f>TEXT(G575,"dddd")</f>
        <v>Thursday</v>
      </c>
      <c r="F575" s="4" t="str">
        <f>TEXT(G575,"mmm")</f>
        <v>Jun</v>
      </c>
      <c r="G575" s="3">
        <v>45078</v>
      </c>
      <c r="H575" s="4" t="s">
        <v>608</v>
      </c>
      <c r="I575" s="4" t="s">
        <v>24</v>
      </c>
      <c r="J575" s="4" t="str" cm="1">
        <f t="array" ref="J575">_xlfn.IFS(K575&lt;30,"Young Adult",K575&lt;=50,"Adult",K575&gt;50,"Senior")</f>
        <v>Adult</v>
      </c>
      <c r="K575" s="4">
        <v>47</v>
      </c>
      <c r="L575" s="4" t="s">
        <v>8</v>
      </c>
      <c r="M575" s="4">
        <v>2</v>
      </c>
      <c r="N575" s="19">
        <v>30</v>
      </c>
      <c r="O575" s="15">
        <f>M575 * N575</f>
        <v>60</v>
      </c>
      <c r="P575" s="15">
        <f>O575*$S$3</f>
        <v>0.89999999999999991</v>
      </c>
      <c r="Q575" s="15">
        <f>O575*$S$4</f>
        <v>1.2</v>
      </c>
    </row>
    <row r="576" spans="1:17">
      <c r="A576" s="2">
        <v>545</v>
      </c>
      <c r="B576" s="4">
        <f>DAY(G576)</f>
        <v>1</v>
      </c>
      <c r="C576" s="4">
        <f>MONTH(G576)</f>
        <v>6</v>
      </c>
      <c r="D576" s="4">
        <f>YEAR(G576)</f>
        <v>2023</v>
      </c>
      <c r="E576" s="4" t="str">
        <f>TEXT(G576,"dddd")</f>
        <v>Thursday</v>
      </c>
      <c r="F576" s="4" t="str">
        <f>TEXT(G576,"mmm")</f>
        <v>Jun</v>
      </c>
      <c r="G576" s="3">
        <v>45078</v>
      </c>
      <c r="H576" s="4" t="s">
        <v>609</v>
      </c>
      <c r="I576" s="4" t="s">
        <v>24</v>
      </c>
      <c r="J576" s="4" t="str" cm="1">
        <f t="array" ref="J576">_xlfn.IFS(K576&lt;30,"Young Adult",K576&lt;=50,"Adult",K576&gt;50,"Senior")</f>
        <v>Young Adult</v>
      </c>
      <c r="K576" s="4">
        <v>27</v>
      </c>
      <c r="L576" s="4" t="s">
        <v>8</v>
      </c>
      <c r="M576" s="4">
        <v>2</v>
      </c>
      <c r="N576" s="19">
        <v>25</v>
      </c>
      <c r="O576" s="15">
        <f>M576 * N576</f>
        <v>50</v>
      </c>
      <c r="P576" s="15">
        <f>O576*$S$3</f>
        <v>0.75</v>
      </c>
      <c r="Q576" s="15">
        <f>O576*$S$4</f>
        <v>1</v>
      </c>
    </row>
    <row r="577" spans="1:17">
      <c r="A577" s="2">
        <v>862</v>
      </c>
      <c r="B577" s="4">
        <f>DAY(G577)</f>
        <v>31</v>
      </c>
      <c r="C577" s="4">
        <f>MONTH(G577)</f>
        <v>5</v>
      </c>
      <c r="D577" s="4">
        <f>YEAR(G577)</f>
        <v>2023</v>
      </c>
      <c r="E577" s="4" t="str">
        <f>TEXT(G577,"dddd")</f>
        <v>Wednesday</v>
      </c>
      <c r="F577" s="4" t="str">
        <f>TEXT(G577,"mmm")</f>
        <v>May</v>
      </c>
      <c r="G577" s="3">
        <v>45077</v>
      </c>
      <c r="H577" s="4" t="s">
        <v>610</v>
      </c>
      <c r="I577" s="4" t="s">
        <v>24</v>
      </c>
      <c r="J577" s="4" t="str" cm="1">
        <f t="array" ref="J577">_xlfn.IFS(K577&lt;30,"Young Adult",K577&lt;=50,"Adult",K577&gt;50,"Senior")</f>
        <v>Young Adult</v>
      </c>
      <c r="K577" s="4">
        <v>28</v>
      </c>
      <c r="L577" s="4" t="s">
        <v>9</v>
      </c>
      <c r="M577" s="4">
        <v>4</v>
      </c>
      <c r="N577" s="19">
        <v>300</v>
      </c>
      <c r="O577" s="15">
        <f>M577 * N577</f>
        <v>1200</v>
      </c>
      <c r="P577" s="15">
        <f>O577*$S$3</f>
        <v>18</v>
      </c>
      <c r="Q577" s="15">
        <f>O577*$S$4</f>
        <v>24</v>
      </c>
    </row>
    <row r="578" spans="1:17">
      <c r="A578" s="2">
        <v>56</v>
      </c>
      <c r="B578" s="4">
        <f>DAY(G578)</f>
        <v>31</v>
      </c>
      <c r="C578" s="4">
        <f>MONTH(G578)</f>
        <v>5</v>
      </c>
      <c r="D578" s="4">
        <f>YEAR(G578)</f>
        <v>2023</v>
      </c>
      <c r="E578" s="4" t="str">
        <f>TEXT(G578,"dddd")</f>
        <v>Wednesday</v>
      </c>
      <c r="F578" s="4" t="str">
        <f>TEXT(G578,"mmm")</f>
        <v>May</v>
      </c>
      <c r="G578" s="3">
        <v>45077</v>
      </c>
      <c r="H578" s="4" t="s">
        <v>611</v>
      </c>
      <c r="I578" s="4" t="s">
        <v>29</v>
      </c>
      <c r="J578" s="4" t="str" cm="1">
        <f t="array" ref="J578">_xlfn.IFS(K578&lt;30,"Young Adult",K578&lt;=50,"Adult",K578&gt;50,"Senior")</f>
        <v>Young Adult</v>
      </c>
      <c r="K578" s="4">
        <v>26</v>
      </c>
      <c r="L578" s="4" t="s">
        <v>8</v>
      </c>
      <c r="M578" s="4">
        <v>3</v>
      </c>
      <c r="N578" s="19">
        <v>300</v>
      </c>
      <c r="O578" s="15">
        <f>M578 * N578</f>
        <v>900</v>
      </c>
      <c r="P578" s="15">
        <f>O578*$S$3</f>
        <v>13.5</v>
      </c>
      <c r="Q578" s="15">
        <f>O578*$S$4</f>
        <v>18</v>
      </c>
    </row>
    <row r="579" spans="1:17">
      <c r="A579" s="2">
        <v>159</v>
      </c>
      <c r="B579" s="4">
        <f>DAY(G579)</f>
        <v>31</v>
      </c>
      <c r="C579" s="4">
        <f>MONTH(G579)</f>
        <v>5</v>
      </c>
      <c r="D579" s="4">
        <f>YEAR(G579)</f>
        <v>2023</v>
      </c>
      <c r="E579" s="4" t="str">
        <f>TEXT(G579,"dddd")</f>
        <v>Wednesday</v>
      </c>
      <c r="F579" s="4" t="str">
        <f>TEXT(G579,"mmm")</f>
        <v>May</v>
      </c>
      <c r="G579" s="3">
        <v>45077</v>
      </c>
      <c r="H579" s="4" t="s">
        <v>612</v>
      </c>
      <c r="I579" s="4" t="s">
        <v>24</v>
      </c>
      <c r="J579" s="4" t="str" cm="1">
        <f t="array" ref="J579">_xlfn.IFS(K579&lt;30,"Young Adult",K579&lt;=50,"Adult",K579&gt;50,"Senior")</f>
        <v>Young Adult</v>
      </c>
      <c r="K579" s="4">
        <v>26</v>
      </c>
      <c r="L579" s="4" t="s">
        <v>8</v>
      </c>
      <c r="M579" s="4">
        <v>4</v>
      </c>
      <c r="N579" s="19">
        <v>50</v>
      </c>
      <c r="O579" s="15">
        <f>M579 * N579</f>
        <v>200</v>
      </c>
      <c r="P579" s="15">
        <f>O579*$S$3</f>
        <v>3</v>
      </c>
      <c r="Q579" s="15">
        <f>O579*$S$4</f>
        <v>4</v>
      </c>
    </row>
    <row r="580" spans="1:17">
      <c r="A580" s="2">
        <v>915</v>
      </c>
      <c r="B580" s="4">
        <f>DAY(G580)</f>
        <v>30</v>
      </c>
      <c r="C580" s="4">
        <f>MONTH(G580)</f>
        <v>5</v>
      </c>
      <c r="D580" s="4">
        <f>YEAR(G580)</f>
        <v>2023</v>
      </c>
      <c r="E580" s="4" t="str">
        <f>TEXT(G580,"dddd")</f>
        <v>Tuesday</v>
      </c>
      <c r="F580" s="4" t="str">
        <f>TEXT(G580,"mmm")</f>
        <v>May</v>
      </c>
      <c r="G580" s="3">
        <v>45076</v>
      </c>
      <c r="H580" s="4" t="s">
        <v>613</v>
      </c>
      <c r="I580" s="4" t="s">
        <v>29</v>
      </c>
      <c r="J580" s="4" t="str" cm="1">
        <f t="array" ref="J580">_xlfn.IFS(K580&lt;30,"Young Adult",K580&lt;=50,"Adult",K580&gt;50,"Senior")</f>
        <v>Young Adult</v>
      </c>
      <c r="K580" s="4">
        <v>26</v>
      </c>
      <c r="L580" s="4" t="s">
        <v>7</v>
      </c>
      <c r="M580" s="4">
        <v>3</v>
      </c>
      <c r="N580" s="19">
        <v>30</v>
      </c>
      <c r="O580" s="15">
        <f>M580 * N580</f>
        <v>90</v>
      </c>
      <c r="P580" s="15">
        <f>O580*$S$3</f>
        <v>1.3499999999999999</v>
      </c>
      <c r="Q580" s="15">
        <f>O580*$S$4</f>
        <v>1.8</v>
      </c>
    </row>
    <row r="581" spans="1:17">
      <c r="A581" s="2">
        <v>985</v>
      </c>
      <c r="B581" s="4">
        <f>DAY(G581)</f>
        <v>30</v>
      </c>
      <c r="C581" s="4">
        <f>MONTH(G581)</f>
        <v>5</v>
      </c>
      <c r="D581" s="4">
        <f>YEAR(G581)</f>
        <v>2023</v>
      </c>
      <c r="E581" s="4" t="str">
        <f>TEXT(G581,"dddd")</f>
        <v>Tuesday</v>
      </c>
      <c r="F581" s="4" t="str">
        <f>TEXT(G581,"mmm")</f>
        <v>May</v>
      </c>
      <c r="G581" s="3">
        <v>45076</v>
      </c>
      <c r="H581" s="4" t="s">
        <v>614</v>
      </c>
      <c r="I581" s="4" t="s">
        <v>29</v>
      </c>
      <c r="J581" s="4" t="str" cm="1">
        <f t="array" ref="J581">_xlfn.IFS(K581&lt;30,"Young Adult",K581&lt;=50,"Adult",K581&gt;50,"Senior")</f>
        <v>Young Adult</v>
      </c>
      <c r="K581" s="4">
        <v>19</v>
      </c>
      <c r="L581" s="4" t="s">
        <v>9</v>
      </c>
      <c r="M581" s="4">
        <v>2</v>
      </c>
      <c r="N581" s="19">
        <v>25</v>
      </c>
      <c r="O581" s="15">
        <f>M581 * N581</f>
        <v>50</v>
      </c>
      <c r="P581" s="15">
        <f>O581*$S$3</f>
        <v>0.75</v>
      </c>
      <c r="Q581" s="15">
        <f>O581*$S$4</f>
        <v>1</v>
      </c>
    </row>
    <row r="582" spans="1:17">
      <c r="A582" s="2">
        <v>67</v>
      </c>
      <c r="B582" s="4">
        <f>DAY(G582)</f>
        <v>29</v>
      </c>
      <c r="C582" s="4">
        <f>MONTH(G582)</f>
        <v>5</v>
      </c>
      <c r="D582" s="4">
        <f>YEAR(G582)</f>
        <v>2023</v>
      </c>
      <c r="E582" s="4" t="str">
        <f>TEXT(G582,"dddd")</f>
        <v>Monday</v>
      </c>
      <c r="F582" s="4" t="str">
        <f>TEXT(G582,"mmm")</f>
        <v>May</v>
      </c>
      <c r="G582" s="3">
        <v>45075</v>
      </c>
      <c r="H582" s="4" t="s">
        <v>615</v>
      </c>
      <c r="I582" s="4" t="s">
        <v>29</v>
      </c>
      <c r="J582" s="4" t="str" cm="1">
        <f t="array" ref="J582">_xlfn.IFS(K582&lt;30,"Young Adult",K582&lt;=50,"Adult",K582&gt;50,"Senior")</f>
        <v>Adult</v>
      </c>
      <c r="K582" s="4">
        <v>48</v>
      </c>
      <c r="L582" s="4" t="s">
        <v>7</v>
      </c>
      <c r="M582" s="4">
        <v>4</v>
      </c>
      <c r="N582" s="19">
        <v>300</v>
      </c>
      <c r="O582" s="15">
        <f>M582 * N582</f>
        <v>1200</v>
      </c>
      <c r="P582" s="15">
        <f>O582*$S$3</f>
        <v>18</v>
      </c>
      <c r="Q582" s="15">
        <f>O582*$S$4</f>
        <v>24</v>
      </c>
    </row>
    <row r="583" spans="1:17">
      <c r="A583" s="2">
        <v>988</v>
      </c>
      <c r="B583" s="4">
        <f>DAY(G583)</f>
        <v>28</v>
      </c>
      <c r="C583" s="4">
        <f>MONTH(G583)</f>
        <v>5</v>
      </c>
      <c r="D583" s="4">
        <f>YEAR(G583)</f>
        <v>2023</v>
      </c>
      <c r="E583" s="4" t="str">
        <f>TEXT(G583,"dddd")</f>
        <v>Sunday</v>
      </c>
      <c r="F583" s="4" t="str">
        <f>TEXT(G583,"mmm")</f>
        <v>May</v>
      </c>
      <c r="G583" s="3">
        <v>45074</v>
      </c>
      <c r="H583" s="4" t="s">
        <v>616</v>
      </c>
      <c r="I583" s="4" t="s">
        <v>29</v>
      </c>
      <c r="J583" s="4" t="str" cm="1">
        <f t="array" ref="J583">_xlfn.IFS(K583&lt;30,"Young Adult",K583&lt;=50,"Adult",K583&gt;50,"Senior")</f>
        <v>Senior</v>
      </c>
      <c r="K583" s="4">
        <v>63</v>
      </c>
      <c r="L583" s="4" t="s">
        <v>8</v>
      </c>
      <c r="M583" s="4">
        <v>3</v>
      </c>
      <c r="N583" s="19">
        <v>25</v>
      </c>
      <c r="O583" s="15">
        <f>M583 * N583</f>
        <v>75</v>
      </c>
      <c r="P583" s="15">
        <f>O583*$S$3</f>
        <v>1.125</v>
      </c>
      <c r="Q583" s="15">
        <f>O583*$S$4</f>
        <v>1.5</v>
      </c>
    </row>
    <row r="584" spans="1:17">
      <c r="A584" s="2">
        <v>561</v>
      </c>
      <c r="B584" s="4">
        <f>DAY(G584)</f>
        <v>27</v>
      </c>
      <c r="C584" s="4">
        <f>MONTH(G584)</f>
        <v>5</v>
      </c>
      <c r="D584" s="4">
        <f>YEAR(G584)</f>
        <v>2023</v>
      </c>
      <c r="E584" s="4" t="str">
        <f>TEXT(G584,"dddd")</f>
        <v>Saturday</v>
      </c>
      <c r="F584" s="4" t="str">
        <f>TEXT(G584,"mmm")</f>
        <v>May</v>
      </c>
      <c r="G584" s="3">
        <v>45073</v>
      </c>
      <c r="H584" s="4" t="s">
        <v>617</v>
      </c>
      <c r="I584" s="4" t="s">
        <v>29</v>
      </c>
      <c r="J584" s="4" t="str" cm="1">
        <f t="array" ref="J584">_xlfn.IFS(K584&lt;30,"Young Adult",K584&lt;=50,"Adult",K584&gt;50,"Senior")</f>
        <v>Senior</v>
      </c>
      <c r="K584" s="4">
        <v>64</v>
      </c>
      <c r="L584" s="4" t="s">
        <v>8</v>
      </c>
      <c r="M584" s="4">
        <v>4</v>
      </c>
      <c r="N584" s="19">
        <v>500</v>
      </c>
      <c r="O584" s="15">
        <f>M584 * N584</f>
        <v>2000</v>
      </c>
      <c r="P584" s="15">
        <f>O584*$S$3</f>
        <v>30</v>
      </c>
      <c r="Q584" s="15">
        <f>O584*$S$4</f>
        <v>40</v>
      </c>
    </row>
    <row r="585" spans="1:17">
      <c r="A585" s="2">
        <v>651</v>
      </c>
      <c r="B585" s="4">
        <f>DAY(G585)</f>
        <v>27</v>
      </c>
      <c r="C585" s="4">
        <f>MONTH(G585)</f>
        <v>5</v>
      </c>
      <c r="D585" s="4">
        <f>YEAR(G585)</f>
        <v>2023</v>
      </c>
      <c r="E585" s="4" t="str">
        <f>TEXT(G585,"dddd")</f>
        <v>Saturday</v>
      </c>
      <c r="F585" s="4" t="str">
        <f>TEXT(G585,"mmm")</f>
        <v>May</v>
      </c>
      <c r="G585" s="3">
        <v>45073</v>
      </c>
      <c r="H585" s="4" t="s">
        <v>618</v>
      </c>
      <c r="I585" s="4" t="s">
        <v>24</v>
      </c>
      <c r="J585" s="4" t="str" cm="1">
        <f t="array" ref="J585">_xlfn.IFS(K585&lt;30,"Young Adult",K585&lt;=50,"Adult",K585&gt;50,"Senior")</f>
        <v>Senior</v>
      </c>
      <c r="K585" s="4">
        <v>51</v>
      </c>
      <c r="L585" s="4" t="s">
        <v>8</v>
      </c>
      <c r="M585" s="4">
        <v>3</v>
      </c>
      <c r="N585" s="19">
        <v>50</v>
      </c>
      <c r="O585" s="15">
        <f>M585 * N585</f>
        <v>150</v>
      </c>
      <c r="P585" s="15">
        <f>O585*$S$3</f>
        <v>2.25</v>
      </c>
      <c r="Q585" s="15">
        <f>O585*$S$4</f>
        <v>3</v>
      </c>
    </row>
    <row r="586" spans="1:17">
      <c r="A586" s="2">
        <v>307</v>
      </c>
      <c r="B586" s="4">
        <f>DAY(G586)</f>
        <v>27</v>
      </c>
      <c r="C586" s="4">
        <f>MONTH(G586)</f>
        <v>5</v>
      </c>
      <c r="D586" s="4">
        <f>YEAR(G586)</f>
        <v>2023</v>
      </c>
      <c r="E586" s="4" t="str">
        <f>TEXT(G586,"dddd")</f>
        <v>Saturday</v>
      </c>
      <c r="F586" s="4" t="str">
        <f>TEXT(G586,"mmm")</f>
        <v>May</v>
      </c>
      <c r="G586" s="3">
        <v>45073</v>
      </c>
      <c r="H586" s="4" t="s">
        <v>619</v>
      </c>
      <c r="I586" s="4" t="s">
        <v>29</v>
      </c>
      <c r="J586" s="4" t="str" cm="1">
        <f t="array" ref="J586">_xlfn.IFS(K586&lt;30,"Young Adult",K586&lt;=50,"Adult",K586&gt;50,"Senior")</f>
        <v>Young Adult</v>
      </c>
      <c r="K586" s="4">
        <v>26</v>
      </c>
      <c r="L586" s="4" t="s">
        <v>9</v>
      </c>
      <c r="M586" s="4">
        <v>2</v>
      </c>
      <c r="N586" s="19">
        <v>25</v>
      </c>
      <c r="O586" s="15">
        <f>M586 * N586</f>
        <v>50</v>
      </c>
      <c r="P586" s="15">
        <f>O586*$S$3</f>
        <v>0.75</v>
      </c>
      <c r="Q586" s="15">
        <f>O586*$S$4</f>
        <v>1</v>
      </c>
    </row>
    <row r="587" spans="1:17">
      <c r="A587" s="2">
        <v>578</v>
      </c>
      <c r="B587" s="4">
        <f>DAY(G587)</f>
        <v>26</v>
      </c>
      <c r="C587" s="4">
        <f>MONTH(G587)</f>
        <v>5</v>
      </c>
      <c r="D587" s="4">
        <f>YEAR(G587)</f>
        <v>2023</v>
      </c>
      <c r="E587" s="4" t="str">
        <f>TEXT(G587,"dddd")</f>
        <v>Friday</v>
      </c>
      <c r="F587" s="4" t="str">
        <f>TEXT(G587,"mmm")</f>
        <v>May</v>
      </c>
      <c r="G587" s="3">
        <v>45072</v>
      </c>
      <c r="H587" s="4" t="s">
        <v>620</v>
      </c>
      <c r="I587" s="4" t="s">
        <v>29</v>
      </c>
      <c r="J587" s="4" t="str" cm="1">
        <f t="array" ref="J587">_xlfn.IFS(K587&lt;30,"Young Adult",K587&lt;=50,"Adult",K587&gt;50,"Senior")</f>
        <v>Senior</v>
      </c>
      <c r="K587" s="4">
        <v>54</v>
      </c>
      <c r="L587" s="4" t="s">
        <v>8</v>
      </c>
      <c r="M587" s="4">
        <v>4</v>
      </c>
      <c r="N587" s="19">
        <v>30</v>
      </c>
      <c r="O587" s="15">
        <f>M587 * N587</f>
        <v>120</v>
      </c>
      <c r="P587" s="15">
        <f>O587*$S$3</f>
        <v>1.7999999999999998</v>
      </c>
      <c r="Q587" s="15">
        <f>O587*$S$4</f>
        <v>2.4</v>
      </c>
    </row>
    <row r="588" spans="1:17">
      <c r="A588" s="2">
        <v>382</v>
      </c>
      <c r="B588" s="4">
        <f>DAY(G588)</f>
        <v>26</v>
      </c>
      <c r="C588" s="4">
        <f>MONTH(G588)</f>
        <v>5</v>
      </c>
      <c r="D588" s="4">
        <f>YEAR(G588)</f>
        <v>2023</v>
      </c>
      <c r="E588" s="4" t="str">
        <f>TEXT(G588,"dddd")</f>
        <v>Friday</v>
      </c>
      <c r="F588" s="4" t="str">
        <f>TEXT(G588,"mmm")</f>
        <v>May</v>
      </c>
      <c r="G588" s="3">
        <v>45072</v>
      </c>
      <c r="H588" s="4" t="s">
        <v>621</v>
      </c>
      <c r="I588" s="4" t="s">
        <v>29</v>
      </c>
      <c r="J588" s="4" t="str" cm="1">
        <f t="array" ref="J588">_xlfn.IFS(K588&lt;30,"Young Adult",K588&lt;=50,"Adult",K588&gt;50,"Senior")</f>
        <v>Senior</v>
      </c>
      <c r="K588" s="4">
        <v>53</v>
      </c>
      <c r="L588" s="4" t="s">
        <v>8</v>
      </c>
      <c r="M588" s="4">
        <v>2</v>
      </c>
      <c r="N588" s="19">
        <v>500</v>
      </c>
      <c r="O588" s="15">
        <f>M588 * N588</f>
        <v>1000</v>
      </c>
      <c r="P588" s="15">
        <f>O588*$S$3</f>
        <v>15</v>
      </c>
      <c r="Q588" s="15">
        <f>O588*$S$4</f>
        <v>20</v>
      </c>
    </row>
    <row r="589" spans="1:17">
      <c r="A589" s="2">
        <v>923</v>
      </c>
      <c r="B589" s="4">
        <f>DAY(G589)</f>
        <v>26</v>
      </c>
      <c r="C589" s="4">
        <f>MONTH(G589)</f>
        <v>5</v>
      </c>
      <c r="D589" s="4">
        <f>YEAR(G589)</f>
        <v>2023</v>
      </c>
      <c r="E589" s="4" t="str">
        <f>TEXT(G589,"dddd")</f>
        <v>Friday</v>
      </c>
      <c r="F589" s="4" t="str">
        <f>TEXT(G589,"mmm")</f>
        <v>May</v>
      </c>
      <c r="G589" s="3">
        <v>45072</v>
      </c>
      <c r="H589" s="4" t="s">
        <v>622</v>
      </c>
      <c r="I589" s="4" t="s">
        <v>24</v>
      </c>
      <c r="J589" s="4" t="str" cm="1">
        <f t="array" ref="J589">_xlfn.IFS(K589&lt;30,"Young Adult",K589&lt;=50,"Adult",K589&gt;50,"Senior")</f>
        <v>Adult</v>
      </c>
      <c r="K589" s="4">
        <v>32</v>
      </c>
      <c r="L589" s="4" t="s">
        <v>7</v>
      </c>
      <c r="M589" s="4">
        <v>3</v>
      </c>
      <c r="N589" s="19">
        <v>300</v>
      </c>
      <c r="O589" s="15">
        <f>M589 * N589</f>
        <v>900</v>
      </c>
      <c r="P589" s="15">
        <f>O589*$S$3</f>
        <v>13.5</v>
      </c>
      <c r="Q589" s="15">
        <f>O589*$S$4</f>
        <v>18</v>
      </c>
    </row>
    <row r="590" spans="1:17">
      <c r="A590" s="2">
        <v>990</v>
      </c>
      <c r="B590" s="4">
        <f>DAY(G590)</f>
        <v>25</v>
      </c>
      <c r="C590" s="4">
        <f>MONTH(G590)</f>
        <v>5</v>
      </c>
      <c r="D590" s="4">
        <f>YEAR(G590)</f>
        <v>2023</v>
      </c>
      <c r="E590" s="4" t="str">
        <f>TEXT(G590,"dddd")</f>
        <v>Thursday</v>
      </c>
      <c r="F590" s="4" t="str">
        <f>TEXT(G590,"mmm")</f>
        <v>May</v>
      </c>
      <c r="G590" s="3">
        <v>45071</v>
      </c>
      <c r="H590" s="4" t="s">
        <v>623</v>
      </c>
      <c r="I590" s="4" t="s">
        <v>29</v>
      </c>
      <c r="J590" s="4" t="str" cm="1">
        <f t="array" ref="J590">_xlfn.IFS(K590&lt;30,"Young Adult",K590&lt;=50,"Adult",K590&gt;50,"Senior")</f>
        <v>Senior</v>
      </c>
      <c r="K590" s="4">
        <v>58</v>
      </c>
      <c r="L590" s="4" t="s">
        <v>7</v>
      </c>
      <c r="M590" s="4">
        <v>2</v>
      </c>
      <c r="N590" s="19">
        <v>500</v>
      </c>
      <c r="O590" s="15">
        <f>M590 * N590</f>
        <v>1000</v>
      </c>
      <c r="P590" s="15">
        <f>O590*$S$3</f>
        <v>15</v>
      </c>
      <c r="Q590" s="15">
        <f>O590*$S$4</f>
        <v>20</v>
      </c>
    </row>
    <row r="591" spans="1:17">
      <c r="A591" s="2">
        <v>404</v>
      </c>
      <c r="B591" s="4">
        <f>DAY(G591)</f>
        <v>25</v>
      </c>
      <c r="C591" s="4">
        <f>MONTH(G591)</f>
        <v>5</v>
      </c>
      <c r="D591" s="4">
        <f>YEAR(G591)</f>
        <v>2023</v>
      </c>
      <c r="E591" s="4" t="str">
        <f>TEXT(G591,"dddd")</f>
        <v>Thursday</v>
      </c>
      <c r="F591" s="4" t="str">
        <f>TEXT(G591,"mmm")</f>
        <v>May</v>
      </c>
      <c r="G591" s="3">
        <v>45071</v>
      </c>
      <c r="H591" s="4" t="s">
        <v>624</v>
      </c>
      <c r="I591" s="4" t="s">
        <v>24</v>
      </c>
      <c r="J591" s="4" t="str" cm="1">
        <f t="array" ref="J591">_xlfn.IFS(K591&lt;30,"Young Adult",K591&lt;=50,"Adult",K591&gt;50,"Senior")</f>
        <v>Adult</v>
      </c>
      <c r="K591" s="4">
        <v>46</v>
      </c>
      <c r="L591" s="4" t="s">
        <v>9</v>
      </c>
      <c r="M591" s="4">
        <v>2</v>
      </c>
      <c r="N591" s="19">
        <v>500</v>
      </c>
      <c r="O591" s="15">
        <f>M591 * N591</f>
        <v>1000</v>
      </c>
      <c r="P591" s="15">
        <f>O591*$S$3</f>
        <v>15</v>
      </c>
      <c r="Q591" s="15">
        <f>O591*$S$4</f>
        <v>20</v>
      </c>
    </row>
    <row r="592" spans="1:17">
      <c r="A592" s="2">
        <v>899</v>
      </c>
      <c r="B592" s="4">
        <f>DAY(G592)</f>
        <v>25</v>
      </c>
      <c r="C592" s="4">
        <f>MONTH(G592)</f>
        <v>5</v>
      </c>
      <c r="D592" s="4">
        <f>YEAR(G592)</f>
        <v>2023</v>
      </c>
      <c r="E592" s="4" t="str">
        <f>TEXT(G592,"dddd")</f>
        <v>Thursday</v>
      </c>
      <c r="F592" s="4" t="str">
        <f>TEXT(G592,"mmm")</f>
        <v>May</v>
      </c>
      <c r="G592" s="3">
        <v>45071</v>
      </c>
      <c r="H592" s="4" t="s">
        <v>625</v>
      </c>
      <c r="I592" s="4" t="s">
        <v>24</v>
      </c>
      <c r="J592" s="4" t="str" cm="1">
        <f t="array" ref="J592">_xlfn.IFS(K592&lt;30,"Young Adult",K592&lt;=50,"Adult",K592&gt;50,"Senior")</f>
        <v>Young Adult</v>
      </c>
      <c r="K592" s="4">
        <v>26</v>
      </c>
      <c r="L592" s="4" t="s">
        <v>8</v>
      </c>
      <c r="M592" s="4">
        <v>2</v>
      </c>
      <c r="N592" s="19">
        <v>300</v>
      </c>
      <c r="O592" s="15">
        <f>M592 * N592</f>
        <v>600</v>
      </c>
      <c r="P592" s="15">
        <f>O592*$S$3</f>
        <v>9</v>
      </c>
      <c r="Q592" s="15">
        <f>O592*$S$4</f>
        <v>12</v>
      </c>
    </row>
    <row r="593" spans="1:17">
      <c r="A593" s="2">
        <v>840</v>
      </c>
      <c r="B593" s="4">
        <f>DAY(G593)</f>
        <v>24</v>
      </c>
      <c r="C593" s="4">
        <f>MONTH(G593)</f>
        <v>5</v>
      </c>
      <c r="D593" s="4">
        <f>YEAR(G593)</f>
        <v>2023</v>
      </c>
      <c r="E593" s="4" t="str">
        <f>TEXT(G593,"dddd")</f>
        <v>Wednesday</v>
      </c>
      <c r="F593" s="4" t="str">
        <f>TEXT(G593,"mmm")</f>
        <v>May</v>
      </c>
      <c r="G593" s="3">
        <v>45070</v>
      </c>
      <c r="H593" s="4" t="s">
        <v>626</v>
      </c>
      <c r="I593" s="4" t="s">
        <v>24</v>
      </c>
      <c r="J593" s="4" t="str" cm="1">
        <f t="array" ref="J593">_xlfn.IFS(K593&lt;30,"Young Adult",K593&lt;=50,"Adult",K593&gt;50,"Senior")</f>
        <v>Senior</v>
      </c>
      <c r="K593" s="4">
        <v>62</v>
      </c>
      <c r="L593" s="4" t="s">
        <v>8</v>
      </c>
      <c r="M593" s="4">
        <v>2</v>
      </c>
      <c r="N593" s="19">
        <v>25</v>
      </c>
      <c r="O593" s="15">
        <f>M593 * N593</f>
        <v>50</v>
      </c>
      <c r="P593" s="15">
        <f>O593*$S$3</f>
        <v>0.75</v>
      </c>
      <c r="Q593" s="15">
        <f>O593*$S$4</f>
        <v>1</v>
      </c>
    </row>
    <row r="594" spans="1:17">
      <c r="A594" s="2">
        <v>491</v>
      </c>
      <c r="B594" s="4">
        <f>DAY(G594)</f>
        <v>23</v>
      </c>
      <c r="C594" s="4">
        <f>MONTH(G594)</f>
        <v>5</v>
      </c>
      <c r="D594" s="4">
        <f>YEAR(G594)</f>
        <v>2023</v>
      </c>
      <c r="E594" s="4" t="str">
        <f>TEXT(G594,"dddd")</f>
        <v>Tuesday</v>
      </c>
      <c r="F594" s="4" t="str">
        <f>TEXT(G594,"mmm")</f>
        <v>May</v>
      </c>
      <c r="G594" s="3">
        <v>45069</v>
      </c>
      <c r="H594" s="4" t="s">
        <v>627</v>
      </c>
      <c r="I594" s="4" t="s">
        <v>29</v>
      </c>
      <c r="J594" s="4" t="str" cm="1">
        <f t="array" ref="J594">_xlfn.IFS(K594&lt;30,"Young Adult",K594&lt;=50,"Adult",K594&gt;50,"Senior")</f>
        <v>Senior</v>
      </c>
      <c r="K594" s="4">
        <v>60</v>
      </c>
      <c r="L594" s="4" t="s">
        <v>9</v>
      </c>
      <c r="M594" s="4">
        <v>3</v>
      </c>
      <c r="N594" s="19">
        <v>300</v>
      </c>
      <c r="O594" s="15">
        <f>M594 * N594</f>
        <v>900</v>
      </c>
      <c r="P594" s="15">
        <f>O594*$S$3</f>
        <v>13.5</v>
      </c>
      <c r="Q594" s="15">
        <f>O594*$S$4</f>
        <v>18</v>
      </c>
    </row>
    <row r="595" spans="1:17">
      <c r="A595" s="2">
        <v>822</v>
      </c>
      <c r="B595" s="4">
        <f>DAY(G595)</f>
        <v>23</v>
      </c>
      <c r="C595" s="4">
        <f>MONTH(G595)</f>
        <v>5</v>
      </c>
      <c r="D595" s="4">
        <f>YEAR(G595)</f>
        <v>2023</v>
      </c>
      <c r="E595" s="4" t="str">
        <f>TEXT(G595,"dddd")</f>
        <v>Tuesday</v>
      </c>
      <c r="F595" s="4" t="str">
        <f>TEXT(G595,"mmm")</f>
        <v>May</v>
      </c>
      <c r="G595" s="3">
        <v>45069</v>
      </c>
      <c r="H595" s="4" t="s">
        <v>628</v>
      </c>
      <c r="I595" s="4" t="s">
        <v>29</v>
      </c>
      <c r="J595" s="4" t="str" cm="1">
        <f t="array" ref="J595">_xlfn.IFS(K595&lt;30,"Young Adult",K595&lt;=50,"Adult",K595&gt;50,"Senior")</f>
        <v>Senior</v>
      </c>
      <c r="K595" s="4">
        <v>52</v>
      </c>
      <c r="L595" s="4" t="s">
        <v>7</v>
      </c>
      <c r="M595" s="4">
        <v>3</v>
      </c>
      <c r="N595" s="19">
        <v>50</v>
      </c>
      <c r="O595" s="15">
        <f>M595 * N595</f>
        <v>150</v>
      </c>
      <c r="P595" s="15">
        <f>O595*$S$3</f>
        <v>2.25</v>
      </c>
      <c r="Q595" s="15">
        <f>O595*$S$4</f>
        <v>3</v>
      </c>
    </row>
    <row r="596" spans="1:17">
      <c r="A596" s="2">
        <v>243</v>
      </c>
      <c r="B596" s="4">
        <f>DAY(G596)</f>
        <v>23</v>
      </c>
      <c r="C596" s="4">
        <f>MONTH(G596)</f>
        <v>5</v>
      </c>
      <c r="D596" s="4">
        <f>YEAR(G596)</f>
        <v>2023</v>
      </c>
      <c r="E596" s="4" t="str">
        <f>TEXT(G596,"dddd")</f>
        <v>Tuesday</v>
      </c>
      <c r="F596" s="4" t="str">
        <f>TEXT(G596,"mmm")</f>
        <v>May</v>
      </c>
      <c r="G596" s="3">
        <v>45069</v>
      </c>
      <c r="H596" s="4" t="s">
        <v>629</v>
      </c>
      <c r="I596" s="4" t="s">
        <v>29</v>
      </c>
      <c r="J596" s="4" t="str" cm="1">
        <f t="array" ref="J596">_xlfn.IFS(K596&lt;30,"Young Adult",K596&lt;=50,"Adult",K596&gt;50,"Senior")</f>
        <v>Adult</v>
      </c>
      <c r="K596" s="4">
        <v>47</v>
      </c>
      <c r="L596" s="4" t="s">
        <v>9</v>
      </c>
      <c r="M596" s="4">
        <v>3</v>
      </c>
      <c r="N596" s="19">
        <v>300</v>
      </c>
      <c r="O596" s="15">
        <f>M596 * N596</f>
        <v>900</v>
      </c>
      <c r="P596" s="15">
        <f>O596*$S$3</f>
        <v>13.5</v>
      </c>
      <c r="Q596" s="15">
        <f>O596*$S$4</f>
        <v>18</v>
      </c>
    </row>
    <row r="597" spans="1:17">
      <c r="A597" s="2">
        <v>31</v>
      </c>
      <c r="B597" s="4">
        <f>DAY(G597)</f>
        <v>23</v>
      </c>
      <c r="C597" s="4">
        <f>MONTH(G597)</f>
        <v>5</v>
      </c>
      <c r="D597" s="4">
        <f>YEAR(G597)</f>
        <v>2023</v>
      </c>
      <c r="E597" s="4" t="str">
        <f>TEXT(G597,"dddd")</f>
        <v>Tuesday</v>
      </c>
      <c r="F597" s="4" t="str">
        <f>TEXT(G597,"mmm")</f>
        <v>May</v>
      </c>
      <c r="G597" s="3">
        <v>45069</v>
      </c>
      <c r="H597" s="4" t="s">
        <v>630</v>
      </c>
      <c r="I597" s="4" t="s">
        <v>24</v>
      </c>
      <c r="J597" s="4" t="str" cm="1">
        <f t="array" ref="J597">_xlfn.IFS(K597&lt;30,"Young Adult",K597&lt;=50,"Adult",K597&gt;50,"Senior")</f>
        <v>Adult</v>
      </c>
      <c r="K597" s="4">
        <v>44</v>
      </c>
      <c r="L597" s="4" t="s">
        <v>9</v>
      </c>
      <c r="M597" s="4">
        <v>4</v>
      </c>
      <c r="N597" s="19">
        <v>300</v>
      </c>
      <c r="O597" s="15">
        <f>M597 * N597</f>
        <v>1200</v>
      </c>
      <c r="P597" s="15">
        <f>O597*$S$3</f>
        <v>18</v>
      </c>
      <c r="Q597" s="15">
        <f>O597*$S$4</f>
        <v>24</v>
      </c>
    </row>
    <row r="598" spans="1:17">
      <c r="A598" s="2">
        <v>489</v>
      </c>
      <c r="B598" s="4">
        <f>DAY(G598)</f>
        <v>23</v>
      </c>
      <c r="C598" s="4">
        <f>MONTH(G598)</f>
        <v>5</v>
      </c>
      <c r="D598" s="4">
        <f>YEAR(G598)</f>
        <v>2023</v>
      </c>
      <c r="E598" s="4" t="str">
        <f>TEXT(G598,"dddd")</f>
        <v>Tuesday</v>
      </c>
      <c r="F598" s="4" t="str">
        <f>TEXT(G598,"mmm")</f>
        <v>May</v>
      </c>
      <c r="G598" s="3">
        <v>45069</v>
      </c>
      <c r="H598" s="4" t="s">
        <v>631</v>
      </c>
      <c r="I598" s="4" t="s">
        <v>24</v>
      </c>
      <c r="J598" s="4" t="str" cm="1">
        <f t="array" ref="J598">_xlfn.IFS(K598&lt;30,"Young Adult",K598&lt;=50,"Adult",K598&gt;50,"Senior")</f>
        <v>Adult</v>
      </c>
      <c r="K598" s="4">
        <v>44</v>
      </c>
      <c r="L598" s="4" t="s">
        <v>9</v>
      </c>
      <c r="M598" s="4">
        <v>1</v>
      </c>
      <c r="N598" s="19">
        <v>30</v>
      </c>
      <c r="O598" s="15">
        <f>M598 * N598</f>
        <v>30</v>
      </c>
      <c r="P598" s="15">
        <f>O598*$S$3</f>
        <v>0.44999999999999996</v>
      </c>
      <c r="Q598" s="15">
        <f>O598*$S$4</f>
        <v>0.6</v>
      </c>
    </row>
    <row r="599" spans="1:17">
      <c r="A599" s="2">
        <v>281</v>
      </c>
      <c r="B599" s="4">
        <f>DAY(G599)</f>
        <v>23</v>
      </c>
      <c r="C599" s="4">
        <f>MONTH(G599)</f>
        <v>5</v>
      </c>
      <c r="D599" s="4">
        <f>YEAR(G599)</f>
        <v>2023</v>
      </c>
      <c r="E599" s="4" t="str">
        <f>TEXT(G599,"dddd")</f>
        <v>Tuesday</v>
      </c>
      <c r="F599" s="4" t="str">
        <f>TEXT(G599,"mmm")</f>
        <v>May</v>
      </c>
      <c r="G599" s="3">
        <v>45069</v>
      </c>
      <c r="H599" s="4" t="s">
        <v>632</v>
      </c>
      <c r="I599" s="4" t="s">
        <v>29</v>
      </c>
      <c r="J599" s="4" t="str" cm="1">
        <f t="array" ref="J599">_xlfn.IFS(K599&lt;30,"Young Adult",K599&lt;=50,"Adult",K599&gt;50,"Senior")</f>
        <v>Young Adult</v>
      </c>
      <c r="K599" s="4">
        <v>29</v>
      </c>
      <c r="L599" s="4" t="s">
        <v>7</v>
      </c>
      <c r="M599" s="4">
        <v>4</v>
      </c>
      <c r="N599" s="19">
        <v>500</v>
      </c>
      <c r="O599" s="15">
        <f>M599 * N599</f>
        <v>2000</v>
      </c>
      <c r="P599" s="15">
        <f>O599*$S$3</f>
        <v>30</v>
      </c>
      <c r="Q599" s="15">
        <f>O599*$S$4</f>
        <v>40</v>
      </c>
    </row>
    <row r="600" spans="1:17">
      <c r="A600" s="2">
        <v>729</v>
      </c>
      <c r="B600" s="4">
        <f>DAY(G600)</f>
        <v>23</v>
      </c>
      <c r="C600" s="4">
        <f>MONTH(G600)</f>
        <v>5</v>
      </c>
      <c r="D600" s="4">
        <f>YEAR(G600)</f>
        <v>2023</v>
      </c>
      <c r="E600" s="4" t="str">
        <f>TEXT(G600,"dddd")</f>
        <v>Tuesday</v>
      </c>
      <c r="F600" s="4" t="str">
        <f>TEXT(G600,"mmm")</f>
        <v>May</v>
      </c>
      <c r="G600" s="3">
        <v>45069</v>
      </c>
      <c r="H600" s="4" t="s">
        <v>633</v>
      </c>
      <c r="I600" s="4" t="s">
        <v>24</v>
      </c>
      <c r="J600" s="4" t="str" cm="1">
        <f t="array" ref="J600">_xlfn.IFS(K600&lt;30,"Young Adult",K600&lt;=50,"Adult",K600&gt;50,"Senior")</f>
        <v>Young Adult</v>
      </c>
      <c r="K600" s="4">
        <v>29</v>
      </c>
      <c r="L600" s="4" t="s">
        <v>8</v>
      </c>
      <c r="M600" s="4">
        <v>4</v>
      </c>
      <c r="N600" s="19">
        <v>300</v>
      </c>
      <c r="O600" s="15">
        <f>M600 * N600</f>
        <v>1200</v>
      </c>
      <c r="P600" s="15">
        <f>O600*$S$3</f>
        <v>18</v>
      </c>
      <c r="Q600" s="15">
        <f>O600*$S$4</f>
        <v>24</v>
      </c>
    </row>
    <row r="601" spans="1:17">
      <c r="A601" s="2">
        <v>72</v>
      </c>
      <c r="B601" s="4">
        <f>DAY(G601)</f>
        <v>23</v>
      </c>
      <c r="C601" s="4">
        <f>MONTH(G601)</f>
        <v>5</v>
      </c>
      <c r="D601" s="4">
        <f>YEAR(G601)</f>
        <v>2023</v>
      </c>
      <c r="E601" s="4" t="str">
        <f>TEXT(G601,"dddd")</f>
        <v>Tuesday</v>
      </c>
      <c r="F601" s="4" t="str">
        <f>TEXT(G601,"mmm")</f>
        <v>May</v>
      </c>
      <c r="G601" s="3">
        <v>45069</v>
      </c>
      <c r="H601" s="4" t="s">
        <v>634</v>
      </c>
      <c r="I601" s="4" t="s">
        <v>29</v>
      </c>
      <c r="J601" s="4" t="str" cm="1">
        <f t="array" ref="J601">_xlfn.IFS(K601&lt;30,"Young Adult",K601&lt;=50,"Adult",K601&gt;50,"Senior")</f>
        <v>Young Adult</v>
      </c>
      <c r="K601" s="4">
        <v>20</v>
      </c>
      <c r="L601" s="4" t="s">
        <v>9</v>
      </c>
      <c r="M601" s="4">
        <v>4</v>
      </c>
      <c r="N601" s="19">
        <v>500</v>
      </c>
      <c r="O601" s="15">
        <f>M601 * N601</f>
        <v>2000</v>
      </c>
      <c r="P601" s="15">
        <f>O601*$S$3</f>
        <v>30</v>
      </c>
      <c r="Q601" s="15">
        <f>O601*$S$4</f>
        <v>40</v>
      </c>
    </row>
    <row r="602" spans="1:17">
      <c r="A602" s="2">
        <v>37</v>
      </c>
      <c r="B602" s="4">
        <f>DAY(G602)</f>
        <v>23</v>
      </c>
      <c r="C602" s="4">
        <f>MONTH(G602)</f>
        <v>5</v>
      </c>
      <c r="D602" s="4">
        <f>YEAR(G602)</f>
        <v>2023</v>
      </c>
      <c r="E602" s="4" t="str">
        <f>TEXT(G602,"dddd")</f>
        <v>Tuesday</v>
      </c>
      <c r="F602" s="4" t="str">
        <f>TEXT(G602,"mmm")</f>
        <v>May</v>
      </c>
      <c r="G602" s="3">
        <v>45069</v>
      </c>
      <c r="H602" s="4" t="s">
        <v>635</v>
      </c>
      <c r="I602" s="4" t="s">
        <v>29</v>
      </c>
      <c r="J602" s="4" t="str" cm="1">
        <f t="array" ref="J602">_xlfn.IFS(K602&lt;30,"Young Adult",K602&lt;=50,"Adult",K602&gt;50,"Senior")</f>
        <v>Young Adult</v>
      </c>
      <c r="K602" s="4">
        <v>18</v>
      </c>
      <c r="L602" s="4" t="s">
        <v>7</v>
      </c>
      <c r="M602" s="4">
        <v>3</v>
      </c>
      <c r="N602" s="19">
        <v>25</v>
      </c>
      <c r="O602" s="15">
        <f>M602 * N602</f>
        <v>75</v>
      </c>
      <c r="P602" s="15">
        <f>O602*$S$3</f>
        <v>1.125</v>
      </c>
      <c r="Q602" s="15">
        <f>O602*$S$4</f>
        <v>1.5</v>
      </c>
    </row>
    <row r="603" spans="1:17">
      <c r="A603" s="2">
        <v>895</v>
      </c>
      <c r="B603" s="4">
        <f>DAY(G603)</f>
        <v>22</v>
      </c>
      <c r="C603" s="4">
        <f>MONTH(G603)</f>
        <v>5</v>
      </c>
      <c r="D603" s="4">
        <f>YEAR(G603)</f>
        <v>2023</v>
      </c>
      <c r="E603" s="4" t="str">
        <f>TEXT(G603,"dddd")</f>
        <v>Monday</v>
      </c>
      <c r="F603" s="4" t="str">
        <f>TEXT(G603,"mmm")</f>
        <v>May</v>
      </c>
      <c r="G603" s="3">
        <v>45068</v>
      </c>
      <c r="H603" s="4" t="s">
        <v>636</v>
      </c>
      <c r="I603" s="4" t="s">
        <v>29</v>
      </c>
      <c r="J603" s="4" t="str" cm="1">
        <f t="array" ref="J603">_xlfn.IFS(K603&lt;30,"Young Adult",K603&lt;=50,"Adult",K603&gt;50,"Senior")</f>
        <v>Senior</v>
      </c>
      <c r="K603" s="4">
        <v>55</v>
      </c>
      <c r="L603" s="4" t="s">
        <v>8</v>
      </c>
      <c r="M603" s="4">
        <v>4</v>
      </c>
      <c r="N603" s="19">
        <v>30</v>
      </c>
      <c r="O603" s="15">
        <f>M603 * N603</f>
        <v>120</v>
      </c>
      <c r="P603" s="15">
        <f>O603*$S$3</f>
        <v>1.7999999999999998</v>
      </c>
      <c r="Q603" s="15">
        <f>O603*$S$4</f>
        <v>2.4</v>
      </c>
    </row>
    <row r="604" spans="1:17">
      <c r="A604" s="2">
        <v>642</v>
      </c>
      <c r="B604" s="4">
        <f>DAY(G604)</f>
        <v>22</v>
      </c>
      <c r="C604" s="4">
        <f>MONTH(G604)</f>
        <v>5</v>
      </c>
      <c r="D604" s="4">
        <f>YEAR(G604)</f>
        <v>2023</v>
      </c>
      <c r="E604" s="4" t="str">
        <f>TEXT(G604,"dddd")</f>
        <v>Monday</v>
      </c>
      <c r="F604" s="4" t="str">
        <f>TEXT(G604,"mmm")</f>
        <v>May</v>
      </c>
      <c r="G604" s="3">
        <v>45068</v>
      </c>
      <c r="H604" s="4" t="s">
        <v>637</v>
      </c>
      <c r="I604" s="4" t="s">
        <v>29</v>
      </c>
      <c r="J604" s="4" t="str" cm="1">
        <f t="array" ref="J604">_xlfn.IFS(K604&lt;30,"Young Adult",K604&lt;=50,"Adult",K604&gt;50,"Senior")</f>
        <v>Senior</v>
      </c>
      <c r="K604" s="4">
        <v>54</v>
      </c>
      <c r="L604" s="4" t="s">
        <v>8</v>
      </c>
      <c r="M604" s="4">
        <v>4</v>
      </c>
      <c r="N604" s="19">
        <v>25</v>
      </c>
      <c r="O604" s="15">
        <f>M604 * N604</f>
        <v>100</v>
      </c>
      <c r="P604" s="15">
        <f>O604*$S$3</f>
        <v>1.5</v>
      </c>
      <c r="Q604" s="15">
        <f>O604*$S$4</f>
        <v>2</v>
      </c>
    </row>
    <row r="605" spans="1:17">
      <c r="A605" s="2">
        <v>419</v>
      </c>
      <c r="B605" s="4">
        <f>DAY(G605)</f>
        <v>22</v>
      </c>
      <c r="C605" s="4">
        <f>MONTH(G605)</f>
        <v>5</v>
      </c>
      <c r="D605" s="4">
        <f>YEAR(G605)</f>
        <v>2023</v>
      </c>
      <c r="E605" s="4" t="str">
        <f>TEXT(G605,"dddd")</f>
        <v>Monday</v>
      </c>
      <c r="F605" s="4" t="str">
        <f>TEXT(G605,"mmm")</f>
        <v>May</v>
      </c>
      <c r="G605" s="3">
        <v>45068</v>
      </c>
      <c r="H605" s="4" t="s">
        <v>638</v>
      </c>
      <c r="I605" s="4" t="s">
        <v>29</v>
      </c>
      <c r="J605" s="4" t="str" cm="1">
        <f t="array" ref="J605">_xlfn.IFS(K605&lt;30,"Young Adult",K605&lt;=50,"Adult",K605&gt;50,"Senior")</f>
        <v>Adult</v>
      </c>
      <c r="K605" s="4">
        <v>44</v>
      </c>
      <c r="L605" s="4" t="s">
        <v>8</v>
      </c>
      <c r="M605" s="4">
        <v>3</v>
      </c>
      <c r="N605" s="19">
        <v>30</v>
      </c>
      <c r="O605" s="15">
        <f>M605 * N605</f>
        <v>90</v>
      </c>
      <c r="P605" s="15">
        <f>O605*$S$3</f>
        <v>1.3499999999999999</v>
      </c>
      <c r="Q605" s="15">
        <f>O605*$S$4</f>
        <v>1.8</v>
      </c>
    </row>
    <row r="606" spans="1:17">
      <c r="A606" s="2">
        <v>843</v>
      </c>
      <c r="B606" s="4">
        <f>DAY(G606)</f>
        <v>22</v>
      </c>
      <c r="C606" s="4">
        <f>MONTH(G606)</f>
        <v>5</v>
      </c>
      <c r="D606" s="4">
        <f>YEAR(G606)</f>
        <v>2023</v>
      </c>
      <c r="E606" s="4" t="str">
        <f>TEXT(G606,"dddd")</f>
        <v>Monday</v>
      </c>
      <c r="F606" s="4" t="str">
        <f>TEXT(G606,"mmm")</f>
        <v>May</v>
      </c>
      <c r="G606" s="3">
        <v>45068</v>
      </c>
      <c r="H606" s="4" t="s">
        <v>639</v>
      </c>
      <c r="I606" s="4" t="s">
        <v>24</v>
      </c>
      <c r="J606" s="4" t="str" cm="1">
        <f t="array" ref="J606">_xlfn.IFS(K606&lt;30,"Young Adult",K606&lt;=50,"Adult",K606&gt;50,"Senior")</f>
        <v>Young Adult</v>
      </c>
      <c r="K606" s="4">
        <v>21</v>
      </c>
      <c r="L606" s="4" t="s">
        <v>7</v>
      </c>
      <c r="M606" s="4">
        <v>3</v>
      </c>
      <c r="N606" s="19">
        <v>500</v>
      </c>
      <c r="O606" s="15">
        <f>M606 * N606</f>
        <v>1500</v>
      </c>
      <c r="P606" s="15">
        <f>O606*$S$3</f>
        <v>22.5</v>
      </c>
      <c r="Q606" s="15">
        <f>O606*$S$4</f>
        <v>30</v>
      </c>
    </row>
    <row r="607" spans="1:17">
      <c r="A607" s="2">
        <v>647</v>
      </c>
      <c r="B607" s="4">
        <f>DAY(G607)</f>
        <v>21</v>
      </c>
      <c r="C607" s="4">
        <f>MONTH(G607)</f>
        <v>5</v>
      </c>
      <c r="D607" s="4">
        <f>YEAR(G607)</f>
        <v>2023</v>
      </c>
      <c r="E607" s="4" t="str">
        <f>TEXT(G607,"dddd")</f>
        <v>Sunday</v>
      </c>
      <c r="F607" s="4" t="str">
        <f>TEXT(G607,"mmm")</f>
        <v>May</v>
      </c>
      <c r="G607" s="3">
        <v>45067</v>
      </c>
      <c r="H607" s="4" t="s">
        <v>640</v>
      </c>
      <c r="I607" s="4" t="s">
        <v>24</v>
      </c>
      <c r="J607" s="4" t="str" cm="1">
        <f t="array" ref="J607">_xlfn.IFS(K607&lt;30,"Young Adult",K607&lt;=50,"Adult",K607&gt;50,"Senior")</f>
        <v>Senior</v>
      </c>
      <c r="K607" s="4">
        <v>59</v>
      </c>
      <c r="L607" s="4" t="s">
        <v>8</v>
      </c>
      <c r="M607" s="4">
        <v>3</v>
      </c>
      <c r="N607" s="19">
        <v>500</v>
      </c>
      <c r="O607" s="15">
        <f>M607 * N607</f>
        <v>1500</v>
      </c>
      <c r="P607" s="15">
        <f>O607*$S$3</f>
        <v>22.5</v>
      </c>
      <c r="Q607" s="15">
        <f>O607*$S$4</f>
        <v>30</v>
      </c>
    </row>
    <row r="608" spans="1:17">
      <c r="A608" s="2">
        <v>911</v>
      </c>
      <c r="B608" s="4">
        <f>DAY(G608)</f>
        <v>21</v>
      </c>
      <c r="C608" s="4">
        <f>MONTH(G608)</f>
        <v>5</v>
      </c>
      <c r="D608" s="4">
        <f>YEAR(G608)</f>
        <v>2023</v>
      </c>
      <c r="E608" s="4" t="str">
        <f>TEXT(G608,"dddd")</f>
        <v>Sunday</v>
      </c>
      <c r="F608" s="4" t="str">
        <f>TEXT(G608,"mmm")</f>
        <v>May</v>
      </c>
      <c r="G608" s="3">
        <v>45067</v>
      </c>
      <c r="H608" s="4" t="s">
        <v>641</v>
      </c>
      <c r="I608" s="4" t="s">
        <v>24</v>
      </c>
      <c r="J608" s="4" t="str" cm="1">
        <f t="array" ref="J608">_xlfn.IFS(K608&lt;30,"Young Adult",K608&lt;=50,"Adult",K608&gt;50,"Senior")</f>
        <v>Adult</v>
      </c>
      <c r="K608" s="4">
        <v>42</v>
      </c>
      <c r="L608" s="4" t="s">
        <v>9</v>
      </c>
      <c r="M608" s="4">
        <v>3</v>
      </c>
      <c r="N608" s="19">
        <v>300</v>
      </c>
      <c r="O608" s="15">
        <f>M608 * N608</f>
        <v>900</v>
      </c>
      <c r="P608" s="15">
        <f>O608*$S$3</f>
        <v>13.5</v>
      </c>
      <c r="Q608" s="15">
        <f>O608*$S$4</f>
        <v>18</v>
      </c>
    </row>
    <row r="609" spans="1:17">
      <c r="A609" s="2">
        <v>4</v>
      </c>
      <c r="B609" s="4">
        <f>DAY(G609)</f>
        <v>21</v>
      </c>
      <c r="C609" s="4">
        <f>MONTH(G609)</f>
        <v>5</v>
      </c>
      <c r="D609" s="4">
        <f>YEAR(G609)</f>
        <v>2023</v>
      </c>
      <c r="E609" s="4" t="str">
        <f>TEXT(G609,"dddd")</f>
        <v>Sunday</v>
      </c>
      <c r="F609" s="4" t="str">
        <f>TEXT(G609,"mmm")</f>
        <v>May</v>
      </c>
      <c r="G609" s="3">
        <v>45067</v>
      </c>
      <c r="H609" s="4" t="s">
        <v>642</v>
      </c>
      <c r="I609" s="4" t="s">
        <v>24</v>
      </c>
      <c r="J609" s="4" t="str" cm="1">
        <f t="array" ref="J609">_xlfn.IFS(K609&lt;30,"Young Adult",K609&lt;=50,"Adult",K609&gt;50,"Senior")</f>
        <v>Adult</v>
      </c>
      <c r="K609" s="4">
        <v>37</v>
      </c>
      <c r="L609" s="4" t="s">
        <v>8</v>
      </c>
      <c r="M609" s="4">
        <v>1</v>
      </c>
      <c r="N609" s="19">
        <v>500</v>
      </c>
      <c r="O609" s="15">
        <f>M609 * N609</f>
        <v>500</v>
      </c>
      <c r="P609" s="15">
        <f>O609*$S$3</f>
        <v>7.5</v>
      </c>
      <c r="Q609" s="15">
        <f>O609*$S$4</f>
        <v>10</v>
      </c>
    </row>
    <row r="610" spans="1:17">
      <c r="A610" s="2">
        <v>653</v>
      </c>
      <c r="B610" s="4">
        <f>DAY(G610)</f>
        <v>20</v>
      </c>
      <c r="C610" s="4">
        <f>MONTH(G610)</f>
        <v>5</v>
      </c>
      <c r="D610" s="4">
        <f>YEAR(G610)</f>
        <v>2023</v>
      </c>
      <c r="E610" s="4" t="str">
        <f>TEXT(G610,"dddd")</f>
        <v>Saturday</v>
      </c>
      <c r="F610" s="4" t="str">
        <f>TEXT(G610,"mmm")</f>
        <v>May</v>
      </c>
      <c r="G610" s="3">
        <v>45066</v>
      </c>
      <c r="H610" s="4" t="s">
        <v>643</v>
      </c>
      <c r="I610" s="4" t="s">
        <v>24</v>
      </c>
      <c r="J610" s="4" t="str" cm="1">
        <f t="array" ref="J610">_xlfn.IFS(K610&lt;30,"Young Adult",K610&lt;=50,"Adult",K610&gt;50,"Senior")</f>
        <v>Senior</v>
      </c>
      <c r="K610" s="4">
        <v>54</v>
      </c>
      <c r="L610" s="4" t="s">
        <v>8</v>
      </c>
      <c r="M610" s="4">
        <v>3</v>
      </c>
      <c r="N610" s="19">
        <v>25</v>
      </c>
      <c r="O610" s="15">
        <f>M610 * N610</f>
        <v>75</v>
      </c>
      <c r="P610" s="15">
        <f>O610*$S$3</f>
        <v>1.125</v>
      </c>
      <c r="Q610" s="15">
        <f>O610*$S$4</f>
        <v>1.5</v>
      </c>
    </row>
    <row r="611" spans="1:17">
      <c r="A611" s="2">
        <v>694</v>
      </c>
      <c r="B611" s="4">
        <f>DAY(G611)</f>
        <v>20</v>
      </c>
      <c r="C611" s="4">
        <f>MONTH(G611)</f>
        <v>5</v>
      </c>
      <c r="D611" s="4">
        <f>YEAR(G611)</f>
        <v>2023</v>
      </c>
      <c r="E611" s="4" t="str">
        <f>TEXT(G611,"dddd")</f>
        <v>Saturday</v>
      </c>
      <c r="F611" s="4" t="str">
        <f>TEXT(G611,"mmm")</f>
        <v>May</v>
      </c>
      <c r="G611" s="3">
        <v>45066</v>
      </c>
      <c r="H611" s="4" t="s">
        <v>644</v>
      </c>
      <c r="I611" s="4" t="s">
        <v>29</v>
      </c>
      <c r="J611" s="4" t="str" cm="1">
        <f t="array" ref="J611">_xlfn.IFS(K611&lt;30,"Young Adult",K611&lt;=50,"Adult",K611&gt;50,"Senior")</f>
        <v>Adult</v>
      </c>
      <c r="K611" s="4">
        <v>39</v>
      </c>
      <c r="L611" s="4" t="s">
        <v>9</v>
      </c>
      <c r="M611" s="4">
        <v>2</v>
      </c>
      <c r="N611" s="19">
        <v>25</v>
      </c>
      <c r="O611" s="15">
        <f>M611 * N611</f>
        <v>50</v>
      </c>
      <c r="P611" s="15">
        <f>O611*$S$3</f>
        <v>0.75</v>
      </c>
      <c r="Q611" s="15">
        <f>O611*$S$4</f>
        <v>1</v>
      </c>
    </row>
    <row r="612" spans="1:17">
      <c r="A612" s="2">
        <v>403</v>
      </c>
      <c r="B612" s="4">
        <f>DAY(G612)</f>
        <v>20</v>
      </c>
      <c r="C612" s="4">
        <f>MONTH(G612)</f>
        <v>5</v>
      </c>
      <c r="D612" s="4">
        <f>YEAR(G612)</f>
        <v>2023</v>
      </c>
      <c r="E612" s="4" t="str">
        <f>TEXT(G612,"dddd")</f>
        <v>Saturday</v>
      </c>
      <c r="F612" s="4" t="str">
        <f>TEXT(G612,"mmm")</f>
        <v>May</v>
      </c>
      <c r="G612" s="3">
        <v>45066</v>
      </c>
      <c r="H612" s="4" t="s">
        <v>645</v>
      </c>
      <c r="I612" s="4" t="s">
        <v>24</v>
      </c>
      <c r="J612" s="4" t="str" cm="1">
        <f t="array" ref="J612">_xlfn.IFS(K612&lt;30,"Young Adult",K612&lt;=50,"Adult",K612&gt;50,"Senior")</f>
        <v>Adult</v>
      </c>
      <c r="K612" s="4">
        <v>32</v>
      </c>
      <c r="L612" s="4" t="s">
        <v>8</v>
      </c>
      <c r="M612" s="4">
        <v>2</v>
      </c>
      <c r="N612" s="19">
        <v>300</v>
      </c>
      <c r="O612" s="15">
        <f>M612 * N612</f>
        <v>600</v>
      </c>
      <c r="P612" s="15">
        <f>O612*$S$3</f>
        <v>9</v>
      </c>
      <c r="Q612" s="15">
        <f>O612*$S$4</f>
        <v>12</v>
      </c>
    </row>
    <row r="613" spans="1:17">
      <c r="A613" s="2">
        <v>811</v>
      </c>
      <c r="B613" s="4">
        <f>DAY(G613)</f>
        <v>19</v>
      </c>
      <c r="C613" s="4">
        <f>MONTH(G613)</f>
        <v>5</v>
      </c>
      <c r="D613" s="4">
        <f>YEAR(G613)</f>
        <v>2023</v>
      </c>
      <c r="E613" s="4" t="str">
        <f>TEXT(G613,"dddd")</f>
        <v>Friday</v>
      </c>
      <c r="F613" s="4" t="str">
        <f>TEXT(G613,"mmm")</f>
        <v>May</v>
      </c>
      <c r="G613" s="3">
        <v>45065</v>
      </c>
      <c r="H613" s="4" t="s">
        <v>646</v>
      </c>
      <c r="I613" s="4" t="s">
        <v>24</v>
      </c>
      <c r="J613" s="4" t="str" cm="1">
        <f t="array" ref="J613">_xlfn.IFS(K613&lt;30,"Young Adult",K613&lt;=50,"Adult",K613&gt;50,"Senior")</f>
        <v>Senior</v>
      </c>
      <c r="K613" s="4">
        <v>61</v>
      </c>
      <c r="L613" s="4" t="s">
        <v>7</v>
      </c>
      <c r="M613" s="4">
        <v>2</v>
      </c>
      <c r="N613" s="19">
        <v>25</v>
      </c>
      <c r="O613" s="15">
        <f>M613 * N613</f>
        <v>50</v>
      </c>
      <c r="P613" s="15">
        <f>O613*$S$3</f>
        <v>0.75</v>
      </c>
      <c r="Q613" s="15">
        <f>O613*$S$4</f>
        <v>1</v>
      </c>
    </row>
    <row r="614" spans="1:17">
      <c r="A614" s="2">
        <v>94</v>
      </c>
      <c r="B614" s="4">
        <f>DAY(G614)</f>
        <v>19</v>
      </c>
      <c r="C614" s="4">
        <f>MONTH(G614)</f>
        <v>5</v>
      </c>
      <c r="D614" s="4">
        <f>YEAR(G614)</f>
        <v>2023</v>
      </c>
      <c r="E614" s="4" t="str">
        <f>TEXT(G614,"dddd")</f>
        <v>Friday</v>
      </c>
      <c r="F614" s="4" t="str">
        <f>TEXT(G614,"mmm")</f>
        <v>May</v>
      </c>
      <c r="G614" s="3">
        <v>45065</v>
      </c>
      <c r="H614" s="4" t="s">
        <v>647</v>
      </c>
      <c r="I614" s="4" t="s">
        <v>29</v>
      </c>
      <c r="J614" s="4" t="str" cm="1">
        <f t="array" ref="J614">_xlfn.IFS(K614&lt;30,"Young Adult",K614&lt;=50,"Adult",K614&gt;50,"Senior")</f>
        <v>Adult</v>
      </c>
      <c r="K614" s="4">
        <v>47</v>
      </c>
      <c r="L614" s="4" t="s">
        <v>7</v>
      </c>
      <c r="M614" s="4">
        <v>2</v>
      </c>
      <c r="N614" s="19">
        <v>500</v>
      </c>
      <c r="O614" s="15">
        <f>M614 * N614</f>
        <v>1000</v>
      </c>
      <c r="P614" s="15">
        <f>O614*$S$3</f>
        <v>15</v>
      </c>
      <c r="Q614" s="15">
        <f>O614*$S$4</f>
        <v>20</v>
      </c>
    </row>
    <row r="615" spans="1:17">
      <c r="A615" s="2">
        <v>881</v>
      </c>
      <c r="B615" s="4">
        <f>DAY(G615)</f>
        <v>19</v>
      </c>
      <c r="C615" s="4">
        <f>MONTH(G615)</f>
        <v>5</v>
      </c>
      <c r="D615" s="4">
        <f>YEAR(G615)</f>
        <v>2023</v>
      </c>
      <c r="E615" s="4" t="str">
        <f>TEXT(G615,"dddd")</f>
        <v>Friday</v>
      </c>
      <c r="F615" s="4" t="str">
        <f>TEXT(G615,"mmm")</f>
        <v>May</v>
      </c>
      <c r="G615" s="3">
        <v>45065</v>
      </c>
      <c r="H615" s="4" t="s">
        <v>648</v>
      </c>
      <c r="I615" s="4" t="s">
        <v>24</v>
      </c>
      <c r="J615" s="4" t="str" cm="1">
        <f t="array" ref="J615">_xlfn.IFS(K615&lt;30,"Young Adult",K615&lt;=50,"Adult",K615&gt;50,"Senior")</f>
        <v>Young Adult</v>
      </c>
      <c r="K615" s="4">
        <v>22</v>
      </c>
      <c r="L615" s="4" t="s">
        <v>9</v>
      </c>
      <c r="M615" s="4">
        <v>1</v>
      </c>
      <c r="N615" s="19">
        <v>300</v>
      </c>
      <c r="O615" s="15">
        <f>M615 * N615</f>
        <v>300</v>
      </c>
      <c r="P615" s="15">
        <f>O615*$S$3</f>
        <v>4.5</v>
      </c>
      <c r="Q615" s="15">
        <f>O615*$S$4</f>
        <v>6</v>
      </c>
    </row>
    <row r="616" spans="1:17">
      <c r="A616" s="2">
        <v>106</v>
      </c>
      <c r="B616" s="4">
        <f>DAY(G616)</f>
        <v>18</v>
      </c>
      <c r="C616" s="4">
        <f>MONTH(G616)</f>
        <v>5</v>
      </c>
      <c r="D616" s="4">
        <f>YEAR(G616)</f>
        <v>2023</v>
      </c>
      <c r="E616" s="4" t="str">
        <f>TEXT(G616,"dddd")</f>
        <v>Thursday</v>
      </c>
      <c r="F616" s="4" t="str">
        <f>TEXT(G616,"mmm")</f>
        <v>May</v>
      </c>
      <c r="G616" s="3">
        <v>45064</v>
      </c>
      <c r="H616" s="4" t="s">
        <v>649</v>
      </c>
      <c r="I616" s="4" t="s">
        <v>29</v>
      </c>
      <c r="J616" s="4" t="str" cm="1">
        <f t="array" ref="J616">_xlfn.IFS(K616&lt;30,"Young Adult",K616&lt;=50,"Adult",K616&gt;50,"Senior")</f>
        <v>Adult</v>
      </c>
      <c r="K616" s="4">
        <v>46</v>
      </c>
      <c r="L616" s="4" t="s">
        <v>8</v>
      </c>
      <c r="M616" s="4">
        <v>1</v>
      </c>
      <c r="N616" s="19">
        <v>50</v>
      </c>
      <c r="O616" s="15">
        <f>M616 * N616</f>
        <v>50</v>
      </c>
      <c r="P616" s="15">
        <f>O616*$S$3</f>
        <v>0.75</v>
      </c>
      <c r="Q616" s="15">
        <f>O616*$S$4</f>
        <v>1</v>
      </c>
    </row>
    <row r="617" spans="1:17">
      <c r="A617" s="2">
        <v>818</v>
      </c>
      <c r="B617" s="4">
        <f>DAY(G617)</f>
        <v>18</v>
      </c>
      <c r="C617" s="4">
        <f>MONTH(G617)</f>
        <v>5</v>
      </c>
      <c r="D617" s="4">
        <f>YEAR(G617)</f>
        <v>2023</v>
      </c>
      <c r="E617" s="4" t="str">
        <f>TEXT(G617,"dddd")</f>
        <v>Thursday</v>
      </c>
      <c r="F617" s="4" t="str">
        <f>TEXT(G617,"mmm")</f>
        <v>May</v>
      </c>
      <c r="G617" s="3">
        <v>45064</v>
      </c>
      <c r="H617" s="4" t="s">
        <v>650</v>
      </c>
      <c r="I617" s="4" t="s">
        <v>24</v>
      </c>
      <c r="J617" s="4" t="str" cm="1">
        <f t="array" ref="J617">_xlfn.IFS(K617&lt;30,"Young Adult",K617&lt;=50,"Adult",K617&gt;50,"Senior")</f>
        <v>Adult</v>
      </c>
      <c r="K617" s="4">
        <v>30</v>
      </c>
      <c r="L617" s="4" t="s">
        <v>9</v>
      </c>
      <c r="M617" s="4">
        <v>1</v>
      </c>
      <c r="N617" s="19">
        <v>500</v>
      </c>
      <c r="O617" s="15">
        <f>M617 * N617</f>
        <v>500</v>
      </c>
      <c r="P617" s="15">
        <f>O617*$S$3</f>
        <v>7.5</v>
      </c>
      <c r="Q617" s="15">
        <f>O617*$S$4</f>
        <v>10</v>
      </c>
    </row>
    <row r="618" spans="1:17">
      <c r="A618" s="2">
        <v>470</v>
      </c>
      <c r="B618" s="4">
        <f>DAY(G618)</f>
        <v>17</v>
      </c>
      <c r="C618" s="4">
        <f>MONTH(G618)</f>
        <v>5</v>
      </c>
      <c r="D618" s="4">
        <f>YEAR(G618)</f>
        <v>2023</v>
      </c>
      <c r="E618" s="4" t="str">
        <f>TEXT(G618,"dddd")</f>
        <v>Wednesday</v>
      </c>
      <c r="F618" s="4" t="str">
        <f>TEXT(G618,"mmm")</f>
        <v>May</v>
      </c>
      <c r="G618" s="3">
        <v>45063</v>
      </c>
      <c r="H618" s="4" t="s">
        <v>651</v>
      </c>
      <c r="I618" s="4" t="s">
        <v>29</v>
      </c>
      <c r="J618" s="4" t="str" cm="1">
        <f t="array" ref="J618">_xlfn.IFS(K618&lt;30,"Young Adult",K618&lt;=50,"Adult",K618&gt;50,"Senior")</f>
        <v>Senior</v>
      </c>
      <c r="K618" s="4">
        <v>57</v>
      </c>
      <c r="L618" s="4" t="s">
        <v>8</v>
      </c>
      <c r="M618" s="4">
        <v>2</v>
      </c>
      <c r="N618" s="19">
        <v>500</v>
      </c>
      <c r="O618" s="15">
        <f>M618 * N618</f>
        <v>1000</v>
      </c>
      <c r="P618" s="15">
        <f>O618*$S$3</f>
        <v>15</v>
      </c>
      <c r="Q618" s="15">
        <f>O618*$S$4</f>
        <v>20</v>
      </c>
    </row>
    <row r="619" spans="1:17">
      <c r="A619" s="2">
        <v>81</v>
      </c>
      <c r="B619" s="4">
        <f>DAY(G619)</f>
        <v>17</v>
      </c>
      <c r="C619" s="4">
        <f>MONTH(G619)</f>
        <v>5</v>
      </c>
      <c r="D619" s="4">
        <f>YEAR(G619)</f>
        <v>2023</v>
      </c>
      <c r="E619" s="4" t="str">
        <f>TEXT(G619,"dddd")</f>
        <v>Wednesday</v>
      </c>
      <c r="F619" s="4" t="str">
        <f>TEXT(G619,"mmm")</f>
        <v>May</v>
      </c>
      <c r="G619" s="3">
        <v>45063</v>
      </c>
      <c r="H619" s="4" t="s">
        <v>652</v>
      </c>
      <c r="I619" s="4" t="s">
        <v>24</v>
      </c>
      <c r="J619" s="4" t="str" cm="1">
        <f t="array" ref="J619">_xlfn.IFS(K619&lt;30,"Young Adult",K619&lt;=50,"Adult",K619&gt;50,"Senior")</f>
        <v>Adult</v>
      </c>
      <c r="K619" s="4">
        <v>40</v>
      </c>
      <c r="L619" s="4" t="s">
        <v>9</v>
      </c>
      <c r="M619" s="4">
        <v>1</v>
      </c>
      <c r="N619" s="19">
        <v>50</v>
      </c>
      <c r="O619" s="15">
        <f>M619 * N619</f>
        <v>50</v>
      </c>
      <c r="P619" s="15">
        <f>O619*$S$3</f>
        <v>0.75</v>
      </c>
      <c r="Q619" s="15">
        <f>O619*$S$4</f>
        <v>1</v>
      </c>
    </row>
    <row r="620" spans="1:17">
      <c r="A620" s="2">
        <v>155</v>
      </c>
      <c r="B620" s="4">
        <f>DAY(G620)</f>
        <v>17</v>
      </c>
      <c r="C620" s="4">
        <f>MONTH(G620)</f>
        <v>5</v>
      </c>
      <c r="D620" s="4">
        <f>YEAR(G620)</f>
        <v>2023</v>
      </c>
      <c r="E620" s="4" t="str">
        <f>TEXT(G620,"dddd")</f>
        <v>Wednesday</v>
      </c>
      <c r="F620" s="4" t="str">
        <f>TEXT(G620,"mmm")</f>
        <v>May</v>
      </c>
      <c r="G620" s="3">
        <v>45063</v>
      </c>
      <c r="H620" s="4" t="s">
        <v>653</v>
      </c>
      <c r="I620" s="4" t="s">
        <v>24</v>
      </c>
      <c r="J620" s="4" t="str" cm="1">
        <f t="array" ref="J620">_xlfn.IFS(K620&lt;30,"Young Adult",K620&lt;=50,"Adult",K620&gt;50,"Senior")</f>
        <v>Adult</v>
      </c>
      <c r="K620" s="4">
        <v>31</v>
      </c>
      <c r="L620" s="4" t="s">
        <v>9</v>
      </c>
      <c r="M620" s="4">
        <v>4</v>
      </c>
      <c r="N620" s="19">
        <v>500</v>
      </c>
      <c r="O620" s="15">
        <f>M620 * N620</f>
        <v>2000</v>
      </c>
      <c r="P620" s="15">
        <f>O620*$S$3</f>
        <v>30</v>
      </c>
      <c r="Q620" s="15">
        <f>O620*$S$4</f>
        <v>40</v>
      </c>
    </row>
    <row r="621" spans="1:17">
      <c r="A621" s="2">
        <v>376</v>
      </c>
      <c r="B621" s="4">
        <f>DAY(G621)</f>
        <v>16</v>
      </c>
      <c r="C621" s="4">
        <f>MONTH(G621)</f>
        <v>5</v>
      </c>
      <c r="D621" s="4">
        <f>YEAR(G621)</f>
        <v>2023</v>
      </c>
      <c r="E621" s="4" t="str">
        <f>TEXT(G621,"dddd")</f>
        <v>Tuesday</v>
      </c>
      <c r="F621" s="4" t="str">
        <f>TEXT(G621,"mmm")</f>
        <v>May</v>
      </c>
      <c r="G621" s="3">
        <v>45062</v>
      </c>
      <c r="H621" s="4" t="s">
        <v>654</v>
      </c>
      <c r="I621" s="4" t="s">
        <v>29</v>
      </c>
      <c r="J621" s="4" t="str" cm="1">
        <f t="array" ref="J621">_xlfn.IFS(K621&lt;30,"Young Adult",K621&lt;=50,"Adult",K621&gt;50,"Senior")</f>
        <v>Senior</v>
      </c>
      <c r="K621" s="4">
        <v>64</v>
      </c>
      <c r="L621" s="4" t="s">
        <v>7</v>
      </c>
      <c r="M621" s="4">
        <v>1</v>
      </c>
      <c r="N621" s="19">
        <v>30</v>
      </c>
      <c r="O621" s="15">
        <f>M621 * N621</f>
        <v>30</v>
      </c>
      <c r="P621" s="15">
        <f>O621*$S$3</f>
        <v>0.44999999999999996</v>
      </c>
      <c r="Q621" s="15">
        <f>O621*$S$4</f>
        <v>0.6</v>
      </c>
    </row>
    <row r="622" spans="1:17">
      <c r="A622" s="2">
        <v>411</v>
      </c>
      <c r="B622" s="4">
        <f>DAY(G622)</f>
        <v>16</v>
      </c>
      <c r="C622" s="4">
        <f>MONTH(G622)</f>
        <v>5</v>
      </c>
      <c r="D622" s="4">
        <f>YEAR(G622)</f>
        <v>2023</v>
      </c>
      <c r="E622" s="4" t="str">
        <f>TEXT(G622,"dddd")</f>
        <v>Tuesday</v>
      </c>
      <c r="F622" s="4" t="str">
        <f>TEXT(G622,"mmm")</f>
        <v>May</v>
      </c>
      <c r="G622" s="3">
        <v>45062</v>
      </c>
      <c r="H622" s="4" t="s">
        <v>655</v>
      </c>
      <c r="I622" s="4" t="s">
        <v>24</v>
      </c>
      <c r="J622" s="4" t="str" cm="1">
        <f t="array" ref="J622">_xlfn.IFS(K622&lt;30,"Young Adult",K622&lt;=50,"Adult",K622&gt;50,"Senior")</f>
        <v>Senior</v>
      </c>
      <c r="K622" s="4">
        <v>62</v>
      </c>
      <c r="L622" s="4" t="s">
        <v>9</v>
      </c>
      <c r="M622" s="4">
        <v>4</v>
      </c>
      <c r="N622" s="19">
        <v>50</v>
      </c>
      <c r="O622" s="15">
        <f>M622 * N622</f>
        <v>200</v>
      </c>
      <c r="P622" s="15">
        <f>O622*$S$3</f>
        <v>3</v>
      </c>
      <c r="Q622" s="15">
        <f>O622*$S$4</f>
        <v>4</v>
      </c>
    </row>
    <row r="623" spans="1:17">
      <c r="A623" s="2">
        <v>996</v>
      </c>
      <c r="B623" s="4">
        <f>DAY(G623)</f>
        <v>16</v>
      </c>
      <c r="C623" s="4">
        <f>MONTH(G623)</f>
        <v>5</v>
      </c>
      <c r="D623" s="4">
        <f>YEAR(G623)</f>
        <v>2023</v>
      </c>
      <c r="E623" s="4" t="str">
        <f>TEXT(G623,"dddd")</f>
        <v>Tuesday</v>
      </c>
      <c r="F623" s="4" t="str">
        <f>TEXT(G623,"mmm")</f>
        <v>May</v>
      </c>
      <c r="G623" s="3">
        <v>45062</v>
      </c>
      <c r="H623" s="4" t="s">
        <v>656</v>
      </c>
      <c r="I623" s="4" t="s">
        <v>24</v>
      </c>
      <c r="J623" s="4" t="str" cm="1">
        <f t="array" ref="J623">_xlfn.IFS(K623&lt;30,"Young Adult",K623&lt;=50,"Adult",K623&gt;50,"Senior")</f>
        <v>Senior</v>
      </c>
      <c r="K623" s="4">
        <v>62</v>
      </c>
      <c r="L623" s="4" t="s">
        <v>8</v>
      </c>
      <c r="M623" s="4">
        <v>1</v>
      </c>
      <c r="N623" s="19">
        <v>50</v>
      </c>
      <c r="O623" s="15">
        <f>M623 * N623</f>
        <v>50</v>
      </c>
      <c r="P623" s="15">
        <f>O623*$S$3</f>
        <v>0.75</v>
      </c>
      <c r="Q623" s="15">
        <f>O623*$S$4</f>
        <v>1</v>
      </c>
    </row>
    <row r="624" spans="1:17">
      <c r="A624" s="2">
        <v>970</v>
      </c>
      <c r="B624" s="4">
        <f>DAY(G624)</f>
        <v>16</v>
      </c>
      <c r="C624" s="4">
        <f>MONTH(G624)</f>
        <v>5</v>
      </c>
      <c r="D624" s="4">
        <f>YEAR(G624)</f>
        <v>2023</v>
      </c>
      <c r="E624" s="4" t="str">
        <f>TEXT(G624,"dddd")</f>
        <v>Tuesday</v>
      </c>
      <c r="F624" s="4" t="str">
        <f>TEXT(G624,"mmm")</f>
        <v>May</v>
      </c>
      <c r="G624" s="3">
        <v>45062</v>
      </c>
      <c r="H624" s="4" t="s">
        <v>657</v>
      </c>
      <c r="I624" s="4" t="s">
        <v>24</v>
      </c>
      <c r="J624" s="4" t="str" cm="1">
        <f t="array" ref="J624">_xlfn.IFS(K624&lt;30,"Young Adult",K624&lt;=50,"Adult",K624&gt;50,"Senior")</f>
        <v>Senior</v>
      </c>
      <c r="K624" s="4">
        <v>59</v>
      </c>
      <c r="L624" s="4" t="s">
        <v>9</v>
      </c>
      <c r="M624" s="4">
        <v>4</v>
      </c>
      <c r="N624" s="19">
        <v>500</v>
      </c>
      <c r="O624" s="15">
        <f>M624 * N624</f>
        <v>2000</v>
      </c>
      <c r="P624" s="15">
        <f>O624*$S$3</f>
        <v>30</v>
      </c>
      <c r="Q624" s="15">
        <f>O624*$S$4</f>
        <v>40</v>
      </c>
    </row>
    <row r="625" spans="1:17">
      <c r="A625" s="2">
        <v>203</v>
      </c>
      <c r="B625" s="4">
        <f>DAY(G625)</f>
        <v>16</v>
      </c>
      <c r="C625" s="4">
        <f>MONTH(G625)</f>
        <v>5</v>
      </c>
      <c r="D625" s="4">
        <f>YEAR(G625)</f>
        <v>2023</v>
      </c>
      <c r="E625" s="4" t="str">
        <f>TEXT(G625,"dddd")</f>
        <v>Tuesday</v>
      </c>
      <c r="F625" s="4" t="str">
        <f>TEXT(G625,"mmm")</f>
        <v>May</v>
      </c>
      <c r="G625" s="3">
        <v>45062</v>
      </c>
      <c r="H625" s="4" t="s">
        <v>658</v>
      </c>
      <c r="I625" s="4" t="s">
        <v>24</v>
      </c>
      <c r="J625" s="4" t="str" cm="1">
        <f t="array" ref="J625">_xlfn.IFS(K625&lt;30,"Young Adult",K625&lt;=50,"Adult",K625&gt;50,"Senior")</f>
        <v>Senior</v>
      </c>
      <c r="K625" s="4">
        <v>56</v>
      </c>
      <c r="L625" s="4" t="s">
        <v>8</v>
      </c>
      <c r="M625" s="4">
        <v>2</v>
      </c>
      <c r="N625" s="19">
        <v>500</v>
      </c>
      <c r="O625" s="15">
        <f>M625 * N625</f>
        <v>1000</v>
      </c>
      <c r="P625" s="15">
        <f>O625*$S$3</f>
        <v>15</v>
      </c>
      <c r="Q625" s="15">
        <f>O625*$S$4</f>
        <v>20</v>
      </c>
    </row>
    <row r="626" spans="1:17">
      <c r="A626" s="2">
        <v>48</v>
      </c>
      <c r="B626" s="4">
        <f>DAY(G626)</f>
        <v>16</v>
      </c>
      <c r="C626" s="4">
        <f>MONTH(G626)</f>
        <v>5</v>
      </c>
      <c r="D626" s="4">
        <f>YEAR(G626)</f>
        <v>2023</v>
      </c>
      <c r="E626" s="4" t="str">
        <f>TEXT(G626,"dddd")</f>
        <v>Tuesday</v>
      </c>
      <c r="F626" s="4" t="str">
        <f>TEXT(G626,"mmm")</f>
        <v>May</v>
      </c>
      <c r="G626" s="3">
        <v>45062</v>
      </c>
      <c r="H626" s="4" t="s">
        <v>659</v>
      </c>
      <c r="I626" s="4" t="s">
        <v>24</v>
      </c>
      <c r="J626" s="4" t="str" cm="1">
        <f t="array" ref="J626">_xlfn.IFS(K626&lt;30,"Young Adult",K626&lt;=50,"Adult",K626&gt;50,"Senior")</f>
        <v>Senior</v>
      </c>
      <c r="K626" s="4">
        <v>54</v>
      </c>
      <c r="L626" s="4" t="s">
        <v>9</v>
      </c>
      <c r="M626" s="4">
        <v>3</v>
      </c>
      <c r="N626" s="19">
        <v>300</v>
      </c>
      <c r="O626" s="15">
        <f>M626 * N626</f>
        <v>900</v>
      </c>
      <c r="P626" s="15">
        <f>O626*$S$3</f>
        <v>13.5</v>
      </c>
      <c r="Q626" s="15">
        <f>O626*$S$4</f>
        <v>18</v>
      </c>
    </row>
    <row r="627" spans="1:17">
      <c r="A627" s="2">
        <v>398</v>
      </c>
      <c r="B627" s="4">
        <f>DAY(G627)</f>
        <v>16</v>
      </c>
      <c r="C627" s="4">
        <f>MONTH(G627)</f>
        <v>5</v>
      </c>
      <c r="D627" s="4">
        <f>YEAR(G627)</f>
        <v>2023</v>
      </c>
      <c r="E627" s="4" t="str">
        <f>TEXT(G627,"dddd")</f>
        <v>Tuesday</v>
      </c>
      <c r="F627" s="4" t="str">
        <f>TEXT(G627,"mmm")</f>
        <v>May</v>
      </c>
      <c r="G627" s="3">
        <v>45062</v>
      </c>
      <c r="H627" s="4" t="s">
        <v>660</v>
      </c>
      <c r="I627" s="4" t="s">
        <v>29</v>
      </c>
      <c r="J627" s="4" t="str" cm="1">
        <f t="array" ref="J627">_xlfn.IFS(K627&lt;30,"Young Adult",K627&lt;=50,"Adult",K627&gt;50,"Senior")</f>
        <v>Adult</v>
      </c>
      <c r="K627" s="4">
        <v>48</v>
      </c>
      <c r="L627" s="4" t="s">
        <v>8</v>
      </c>
      <c r="M627" s="4">
        <v>2</v>
      </c>
      <c r="N627" s="19">
        <v>300</v>
      </c>
      <c r="O627" s="15">
        <f>M627 * N627</f>
        <v>600</v>
      </c>
      <c r="P627" s="15">
        <f>O627*$S$3</f>
        <v>9</v>
      </c>
      <c r="Q627" s="15">
        <f>O627*$S$4</f>
        <v>12</v>
      </c>
    </row>
    <row r="628" spans="1:17">
      <c r="A628" s="2">
        <v>504</v>
      </c>
      <c r="B628" s="4">
        <f>DAY(G628)</f>
        <v>16</v>
      </c>
      <c r="C628" s="4">
        <f>MONTH(G628)</f>
        <v>5</v>
      </c>
      <c r="D628" s="4">
        <f>YEAR(G628)</f>
        <v>2023</v>
      </c>
      <c r="E628" s="4" t="str">
        <f>TEXT(G628,"dddd")</f>
        <v>Tuesday</v>
      </c>
      <c r="F628" s="4" t="str">
        <f>TEXT(G628,"mmm")</f>
        <v>May</v>
      </c>
      <c r="G628" s="3">
        <v>45062</v>
      </c>
      <c r="H628" s="4" t="s">
        <v>661</v>
      </c>
      <c r="I628" s="4" t="s">
        <v>29</v>
      </c>
      <c r="J628" s="4" t="str" cm="1">
        <f t="array" ref="J628">_xlfn.IFS(K628&lt;30,"Young Adult",K628&lt;=50,"Adult",K628&gt;50,"Senior")</f>
        <v>Adult</v>
      </c>
      <c r="K628" s="4">
        <v>38</v>
      </c>
      <c r="L628" s="4" t="s">
        <v>7</v>
      </c>
      <c r="M628" s="4">
        <v>3</v>
      </c>
      <c r="N628" s="19">
        <v>50</v>
      </c>
      <c r="O628" s="15">
        <f>M628 * N628</f>
        <v>150</v>
      </c>
      <c r="P628" s="15">
        <f>O628*$S$3</f>
        <v>2.25</v>
      </c>
      <c r="Q628" s="15">
        <f>O628*$S$4</f>
        <v>3</v>
      </c>
    </row>
    <row r="629" spans="1:17">
      <c r="A629" s="2">
        <v>358</v>
      </c>
      <c r="B629" s="4">
        <f>DAY(G629)</f>
        <v>16</v>
      </c>
      <c r="C629" s="4">
        <f>MONTH(G629)</f>
        <v>5</v>
      </c>
      <c r="D629" s="4">
        <f>YEAR(G629)</f>
        <v>2023</v>
      </c>
      <c r="E629" s="4" t="str">
        <f>TEXT(G629,"dddd")</f>
        <v>Tuesday</v>
      </c>
      <c r="F629" s="4" t="str">
        <f>TEXT(G629,"mmm")</f>
        <v>May</v>
      </c>
      <c r="G629" s="3">
        <v>45062</v>
      </c>
      <c r="H629" s="4" t="s">
        <v>662</v>
      </c>
      <c r="I629" s="4" t="s">
        <v>29</v>
      </c>
      <c r="J629" s="4" t="str" cm="1">
        <f t="array" ref="J629">_xlfn.IFS(K629&lt;30,"Young Adult",K629&lt;=50,"Adult",K629&gt;50,"Senior")</f>
        <v>Adult</v>
      </c>
      <c r="K629" s="4">
        <v>32</v>
      </c>
      <c r="L629" s="4" t="s">
        <v>7</v>
      </c>
      <c r="M629" s="4">
        <v>1</v>
      </c>
      <c r="N629" s="19">
        <v>300</v>
      </c>
      <c r="O629" s="15">
        <f>M629 * N629</f>
        <v>300</v>
      </c>
      <c r="P629" s="15">
        <f>O629*$S$3</f>
        <v>4.5</v>
      </c>
      <c r="Q629" s="15">
        <f>O629*$S$4</f>
        <v>6</v>
      </c>
    </row>
    <row r="630" spans="1:17">
      <c r="A630" s="2">
        <v>118</v>
      </c>
      <c r="B630" s="4">
        <f>DAY(G630)</f>
        <v>16</v>
      </c>
      <c r="C630" s="4">
        <f>MONTH(G630)</f>
        <v>5</v>
      </c>
      <c r="D630" s="4">
        <f>YEAR(G630)</f>
        <v>2023</v>
      </c>
      <c r="E630" s="4" t="str">
        <f>TEXT(G630,"dddd")</f>
        <v>Tuesday</v>
      </c>
      <c r="F630" s="4" t="str">
        <f>TEXT(G630,"mmm")</f>
        <v>May</v>
      </c>
      <c r="G630" s="3">
        <v>45062</v>
      </c>
      <c r="H630" s="4" t="s">
        <v>663</v>
      </c>
      <c r="I630" s="4" t="s">
        <v>29</v>
      </c>
      <c r="J630" s="4" t="str" cm="1">
        <f t="array" ref="J630">_xlfn.IFS(K630&lt;30,"Young Adult",K630&lt;=50,"Adult",K630&gt;50,"Senior")</f>
        <v>Adult</v>
      </c>
      <c r="K630" s="4">
        <v>30</v>
      </c>
      <c r="L630" s="4" t="s">
        <v>9</v>
      </c>
      <c r="M630" s="4">
        <v>4</v>
      </c>
      <c r="N630" s="19">
        <v>500</v>
      </c>
      <c r="O630" s="15">
        <f>M630 * N630</f>
        <v>2000</v>
      </c>
      <c r="P630" s="15">
        <f>O630*$S$3</f>
        <v>30</v>
      </c>
      <c r="Q630" s="15">
        <f>O630*$S$4</f>
        <v>40</v>
      </c>
    </row>
    <row r="631" spans="1:17">
      <c r="A631" s="2">
        <v>305</v>
      </c>
      <c r="B631" s="4">
        <f>DAY(G631)</f>
        <v>16</v>
      </c>
      <c r="C631" s="4">
        <f>MONTH(G631)</f>
        <v>5</v>
      </c>
      <c r="D631" s="4">
        <f>YEAR(G631)</f>
        <v>2023</v>
      </c>
      <c r="E631" s="4" t="str">
        <f>TEXT(G631,"dddd")</f>
        <v>Tuesday</v>
      </c>
      <c r="F631" s="4" t="str">
        <f>TEXT(G631,"mmm")</f>
        <v>May</v>
      </c>
      <c r="G631" s="3">
        <v>45062</v>
      </c>
      <c r="H631" s="4" t="s">
        <v>664</v>
      </c>
      <c r="I631" s="4" t="s">
        <v>29</v>
      </c>
      <c r="J631" s="4" t="str" cm="1">
        <f t="array" ref="J631">_xlfn.IFS(K631&lt;30,"Young Adult",K631&lt;=50,"Adult",K631&gt;50,"Senior")</f>
        <v>Young Adult</v>
      </c>
      <c r="K631" s="4">
        <v>18</v>
      </c>
      <c r="L631" s="4" t="s">
        <v>7</v>
      </c>
      <c r="M631" s="4">
        <v>1</v>
      </c>
      <c r="N631" s="19">
        <v>30</v>
      </c>
      <c r="O631" s="15">
        <f>M631 * N631</f>
        <v>30</v>
      </c>
      <c r="P631" s="15">
        <f>O631*$S$3</f>
        <v>0.44999999999999996</v>
      </c>
      <c r="Q631" s="15">
        <f>O631*$S$4</f>
        <v>0.6</v>
      </c>
    </row>
    <row r="632" spans="1:17">
      <c r="A632" s="2">
        <v>425</v>
      </c>
      <c r="B632" s="4">
        <f>DAY(G632)</f>
        <v>15</v>
      </c>
      <c r="C632" s="4">
        <f>MONTH(G632)</f>
        <v>5</v>
      </c>
      <c r="D632" s="4">
        <f>YEAR(G632)</f>
        <v>2023</v>
      </c>
      <c r="E632" s="4" t="str">
        <f>TEXT(G632,"dddd")</f>
        <v>Monday</v>
      </c>
      <c r="F632" s="4" t="str">
        <f>TEXT(G632,"mmm")</f>
        <v>May</v>
      </c>
      <c r="G632" s="3">
        <v>45061</v>
      </c>
      <c r="H632" s="4" t="s">
        <v>665</v>
      </c>
      <c r="I632" s="4" t="s">
        <v>29</v>
      </c>
      <c r="J632" s="4" t="str" cm="1">
        <f t="array" ref="J632">_xlfn.IFS(K632&lt;30,"Young Adult",K632&lt;=50,"Adult",K632&gt;50,"Senior")</f>
        <v>Senior</v>
      </c>
      <c r="K632" s="4">
        <v>55</v>
      </c>
      <c r="L632" s="4" t="s">
        <v>9</v>
      </c>
      <c r="M632" s="4">
        <v>4</v>
      </c>
      <c r="N632" s="19">
        <v>30</v>
      </c>
      <c r="O632" s="15">
        <f>M632 * N632</f>
        <v>120</v>
      </c>
      <c r="P632" s="15">
        <f>O632*$S$3</f>
        <v>1.7999999999999998</v>
      </c>
      <c r="Q632" s="15">
        <f>O632*$S$4</f>
        <v>2.4</v>
      </c>
    </row>
    <row r="633" spans="1:17">
      <c r="A633" s="2">
        <v>164</v>
      </c>
      <c r="B633" s="4">
        <f>DAY(G633)</f>
        <v>15</v>
      </c>
      <c r="C633" s="4">
        <f>MONTH(G633)</f>
        <v>5</v>
      </c>
      <c r="D633" s="4">
        <f>YEAR(G633)</f>
        <v>2023</v>
      </c>
      <c r="E633" s="4" t="str">
        <f>TEXT(G633,"dddd")</f>
        <v>Monday</v>
      </c>
      <c r="F633" s="4" t="str">
        <f>TEXT(G633,"mmm")</f>
        <v>May</v>
      </c>
      <c r="G633" s="3">
        <v>45061</v>
      </c>
      <c r="H633" s="4" t="s">
        <v>666</v>
      </c>
      <c r="I633" s="4" t="s">
        <v>29</v>
      </c>
      <c r="J633" s="4" t="str" cm="1">
        <f t="array" ref="J633">_xlfn.IFS(K633&lt;30,"Young Adult",K633&lt;=50,"Adult",K633&gt;50,"Senior")</f>
        <v>Adult</v>
      </c>
      <c r="K633" s="4">
        <v>47</v>
      </c>
      <c r="L633" s="4" t="s">
        <v>7</v>
      </c>
      <c r="M633" s="4">
        <v>3</v>
      </c>
      <c r="N633" s="19">
        <v>500</v>
      </c>
      <c r="O633" s="15">
        <f>M633 * N633</f>
        <v>1500</v>
      </c>
      <c r="P633" s="15">
        <f>O633*$S$3</f>
        <v>22.5</v>
      </c>
      <c r="Q633" s="15">
        <f>O633*$S$4</f>
        <v>30</v>
      </c>
    </row>
    <row r="634" spans="1:17">
      <c r="A634" s="2">
        <v>123</v>
      </c>
      <c r="B634" s="4">
        <f>DAY(G634)</f>
        <v>15</v>
      </c>
      <c r="C634" s="4">
        <f>MONTH(G634)</f>
        <v>5</v>
      </c>
      <c r="D634" s="4">
        <f>YEAR(G634)</f>
        <v>2023</v>
      </c>
      <c r="E634" s="4" t="str">
        <f>TEXT(G634,"dddd")</f>
        <v>Monday</v>
      </c>
      <c r="F634" s="4" t="str">
        <f>TEXT(G634,"mmm")</f>
        <v>May</v>
      </c>
      <c r="G634" s="3">
        <v>45061</v>
      </c>
      <c r="H634" s="4" t="s">
        <v>667</v>
      </c>
      <c r="I634" s="4" t="s">
        <v>29</v>
      </c>
      <c r="J634" s="4" t="str" cm="1">
        <f t="array" ref="J634">_xlfn.IFS(K634&lt;30,"Young Adult",K634&lt;=50,"Adult",K634&gt;50,"Senior")</f>
        <v>Adult</v>
      </c>
      <c r="K634" s="4">
        <v>40</v>
      </c>
      <c r="L634" s="4" t="s">
        <v>9</v>
      </c>
      <c r="M634" s="4">
        <v>2</v>
      </c>
      <c r="N634" s="19">
        <v>30</v>
      </c>
      <c r="O634" s="15">
        <f>M634 * N634</f>
        <v>60</v>
      </c>
      <c r="P634" s="15">
        <f>O634*$S$3</f>
        <v>0.89999999999999991</v>
      </c>
      <c r="Q634" s="15">
        <f>O634*$S$4</f>
        <v>1.2</v>
      </c>
    </row>
    <row r="635" spans="1:17">
      <c r="A635" s="2">
        <v>721</v>
      </c>
      <c r="B635" s="4">
        <f>DAY(G635)</f>
        <v>14</v>
      </c>
      <c r="C635" s="4">
        <f>MONTH(G635)</f>
        <v>5</v>
      </c>
      <c r="D635" s="4">
        <f>YEAR(G635)</f>
        <v>2023</v>
      </c>
      <c r="E635" s="4" t="str">
        <f>TEXT(G635,"dddd")</f>
        <v>Sunday</v>
      </c>
      <c r="F635" s="4" t="str">
        <f>TEXT(G635,"mmm")</f>
        <v>May</v>
      </c>
      <c r="G635" s="3">
        <v>45060</v>
      </c>
      <c r="H635" s="4" t="s">
        <v>668</v>
      </c>
      <c r="I635" s="4" t="s">
        <v>29</v>
      </c>
      <c r="J635" s="4" t="str" cm="1">
        <f t="array" ref="J635">_xlfn.IFS(K635&lt;30,"Young Adult",K635&lt;=50,"Adult",K635&gt;50,"Senior")</f>
        <v>Senior</v>
      </c>
      <c r="K635" s="4">
        <v>52</v>
      </c>
      <c r="L635" s="4" t="s">
        <v>8</v>
      </c>
      <c r="M635" s="4">
        <v>1</v>
      </c>
      <c r="N635" s="19">
        <v>500</v>
      </c>
      <c r="O635" s="15">
        <f>M635 * N635</f>
        <v>500</v>
      </c>
      <c r="P635" s="15">
        <f>O635*$S$3</f>
        <v>7.5</v>
      </c>
      <c r="Q635" s="15">
        <f>O635*$S$4</f>
        <v>10</v>
      </c>
    </row>
    <row r="636" spans="1:17">
      <c r="A636" s="2">
        <v>501</v>
      </c>
      <c r="B636" s="4">
        <f>DAY(G636)</f>
        <v>14</v>
      </c>
      <c r="C636" s="4">
        <f>MONTH(G636)</f>
        <v>5</v>
      </c>
      <c r="D636" s="4">
        <f>YEAR(G636)</f>
        <v>2023</v>
      </c>
      <c r="E636" s="4" t="str">
        <f>TEXT(G636,"dddd")</f>
        <v>Sunday</v>
      </c>
      <c r="F636" s="4" t="str">
        <f>TEXT(G636,"mmm")</f>
        <v>May</v>
      </c>
      <c r="G636" s="3">
        <v>45060</v>
      </c>
      <c r="H636" s="4" t="s">
        <v>669</v>
      </c>
      <c r="I636" s="4" t="s">
        <v>24</v>
      </c>
      <c r="J636" s="4" t="str" cm="1">
        <f t="array" ref="J636">_xlfn.IFS(K636&lt;30,"Young Adult",K636&lt;=50,"Adult",K636&gt;50,"Senior")</f>
        <v>Adult</v>
      </c>
      <c r="K636" s="4">
        <v>39</v>
      </c>
      <c r="L636" s="4" t="s">
        <v>9</v>
      </c>
      <c r="M636" s="4">
        <v>2</v>
      </c>
      <c r="N636" s="19">
        <v>30</v>
      </c>
      <c r="O636" s="15">
        <f>M636 * N636</f>
        <v>60</v>
      </c>
      <c r="P636" s="15">
        <f>O636*$S$3</f>
        <v>0.89999999999999991</v>
      </c>
      <c r="Q636" s="15">
        <f>O636*$S$4</f>
        <v>1.2</v>
      </c>
    </row>
    <row r="637" spans="1:17">
      <c r="A637" s="2">
        <v>353</v>
      </c>
      <c r="B637" s="4">
        <f>DAY(G637)</f>
        <v>14</v>
      </c>
      <c r="C637" s="4">
        <f>MONTH(G637)</f>
        <v>5</v>
      </c>
      <c r="D637" s="4">
        <f>YEAR(G637)</f>
        <v>2023</v>
      </c>
      <c r="E637" s="4" t="str">
        <f>TEXT(G637,"dddd")</f>
        <v>Sunday</v>
      </c>
      <c r="F637" s="4" t="str">
        <f>TEXT(G637,"mmm")</f>
        <v>May</v>
      </c>
      <c r="G637" s="3">
        <v>45060</v>
      </c>
      <c r="H637" s="4" t="s">
        <v>670</v>
      </c>
      <c r="I637" s="4" t="s">
        <v>24</v>
      </c>
      <c r="J637" s="4" t="str" cm="1">
        <f t="array" ref="J637">_xlfn.IFS(K637&lt;30,"Young Adult",K637&lt;=50,"Adult",K637&gt;50,"Senior")</f>
        <v>Adult</v>
      </c>
      <c r="K637" s="4">
        <v>31</v>
      </c>
      <c r="L637" s="4" t="s">
        <v>9</v>
      </c>
      <c r="M637" s="4">
        <v>1</v>
      </c>
      <c r="N637" s="19">
        <v>500</v>
      </c>
      <c r="O637" s="15">
        <f>M637 * N637</f>
        <v>500</v>
      </c>
      <c r="P637" s="15">
        <f>O637*$S$3</f>
        <v>7.5</v>
      </c>
      <c r="Q637" s="15">
        <f>O637*$S$4</f>
        <v>10</v>
      </c>
    </row>
    <row r="638" spans="1:17">
      <c r="A638" s="2">
        <v>639</v>
      </c>
      <c r="B638" s="4">
        <f>DAY(G638)</f>
        <v>13</v>
      </c>
      <c r="C638" s="4">
        <f>MONTH(G638)</f>
        <v>5</v>
      </c>
      <c r="D638" s="4">
        <f>YEAR(G638)</f>
        <v>2023</v>
      </c>
      <c r="E638" s="4" t="str">
        <f>TEXT(G638,"dddd")</f>
        <v>Saturday</v>
      </c>
      <c r="F638" s="4" t="str">
        <f>TEXT(G638,"mmm")</f>
        <v>May</v>
      </c>
      <c r="G638" s="3">
        <v>45059</v>
      </c>
      <c r="H638" s="4" t="s">
        <v>671</v>
      </c>
      <c r="I638" s="4" t="s">
        <v>29</v>
      </c>
      <c r="J638" s="4" t="str" cm="1">
        <f t="array" ref="J638">_xlfn.IFS(K638&lt;30,"Young Adult",K638&lt;=50,"Adult",K638&gt;50,"Senior")</f>
        <v>Senior</v>
      </c>
      <c r="K638" s="4">
        <v>62</v>
      </c>
      <c r="L638" s="4" t="s">
        <v>7</v>
      </c>
      <c r="M638" s="4">
        <v>4</v>
      </c>
      <c r="N638" s="19">
        <v>50</v>
      </c>
      <c r="O638" s="15">
        <f>M638 * N638</f>
        <v>200</v>
      </c>
      <c r="P638" s="15">
        <f>O638*$S$3</f>
        <v>3</v>
      </c>
      <c r="Q638" s="15">
        <f>O638*$S$4</f>
        <v>4</v>
      </c>
    </row>
    <row r="639" spans="1:17">
      <c r="A639" s="2">
        <v>838</v>
      </c>
      <c r="B639" s="4">
        <f>DAY(G639)</f>
        <v>13</v>
      </c>
      <c r="C639" s="4">
        <f>MONTH(G639)</f>
        <v>5</v>
      </c>
      <c r="D639" s="4">
        <f>YEAR(G639)</f>
        <v>2023</v>
      </c>
      <c r="E639" s="4" t="str">
        <f>TEXT(G639,"dddd")</f>
        <v>Saturday</v>
      </c>
      <c r="F639" s="4" t="str">
        <f>TEXT(G639,"mmm")</f>
        <v>May</v>
      </c>
      <c r="G639" s="3">
        <v>45059</v>
      </c>
      <c r="H639" s="4" t="s">
        <v>672</v>
      </c>
      <c r="I639" s="4" t="s">
        <v>24</v>
      </c>
      <c r="J639" s="4" t="str" cm="1">
        <f t="array" ref="J639">_xlfn.IFS(K639&lt;30,"Young Adult",K639&lt;=50,"Adult",K639&gt;50,"Senior")</f>
        <v>Adult</v>
      </c>
      <c r="K639" s="4">
        <v>47</v>
      </c>
      <c r="L639" s="4" t="s">
        <v>9</v>
      </c>
      <c r="M639" s="4">
        <v>2</v>
      </c>
      <c r="N639" s="19">
        <v>300</v>
      </c>
      <c r="O639" s="15">
        <f>M639 * N639</f>
        <v>600</v>
      </c>
      <c r="P639" s="15">
        <f>O639*$S$3</f>
        <v>9</v>
      </c>
      <c r="Q639" s="15">
        <f>O639*$S$4</f>
        <v>12</v>
      </c>
    </row>
    <row r="640" spans="1:17">
      <c r="A640" s="2">
        <v>758</v>
      </c>
      <c r="B640" s="4">
        <f>DAY(G640)</f>
        <v>12</v>
      </c>
      <c r="C640" s="4">
        <f>MONTH(G640)</f>
        <v>5</v>
      </c>
      <c r="D640" s="4">
        <f>YEAR(G640)</f>
        <v>2023</v>
      </c>
      <c r="E640" s="4" t="str">
        <f>TEXT(G640,"dddd")</f>
        <v>Friday</v>
      </c>
      <c r="F640" s="4" t="str">
        <f>TEXT(G640,"mmm")</f>
        <v>May</v>
      </c>
      <c r="G640" s="3">
        <v>45058</v>
      </c>
      <c r="H640" s="4" t="s">
        <v>673</v>
      </c>
      <c r="I640" s="4" t="s">
        <v>24</v>
      </c>
      <c r="J640" s="4" t="str" cm="1">
        <f t="array" ref="J640">_xlfn.IFS(K640&lt;30,"Young Adult",K640&lt;=50,"Adult",K640&gt;50,"Senior")</f>
        <v>Senior</v>
      </c>
      <c r="K640" s="4">
        <v>64</v>
      </c>
      <c r="L640" s="4" t="s">
        <v>8</v>
      </c>
      <c r="M640" s="4">
        <v>4</v>
      </c>
      <c r="N640" s="19">
        <v>25</v>
      </c>
      <c r="O640" s="15">
        <f>M640 * N640</f>
        <v>100</v>
      </c>
      <c r="P640" s="15">
        <f>O640*$S$3</f>
        <v>1.5</v>
      </c>
      <c r="Q640" s="15">
        <f>O640*$S$4</f>
        <v>2</v>
      </c>
    </row>
    <row r="641" spans="1:17">
      <c r="A641" s="2">
        <v>518</v>
      </c>
      <c r="B641" s="4">
        <f>DAY(G641)</f>
        <v>11</v>
      </c>
      <c r="C641" s="4">
        <f>MONTH(G641)</f>
        <v>5</v>
      </c>
      <c r="D641" s="4">
        <f>YEAR(G641)</f>
        <v>2023</v>
      </c>
      <c r="E641" s="4" t="str">
        <f>TEXT(G641,"dddd")</f>
        <v>Thursday</v>
      </c>
      <c r="F641" s="4" t="str">
        <f>TEXT(G641,"mmm")</f>
        <v>May</v>
      </c>
      <c r="G641" s="3">
        <v>45057</v>
      </c>
      <c r="H641" s="4" t="s">
        <v>674</v>
      </c>
      <c r="I641" s="4" t="s">
        <v>29</v>
      </c>
      <c r="J641" s="4" t="str" cm="1">
        <f t="array" ref="J641">_xlfn.IFS(K641&lt;30,"Young Adult",K641&lt;=50,"Adult",K641&gt;50,"Senior")</f>
        <v>Adult</v>
      </c>
      <c r="K641" s="4">
        <v>40</v>
      </c>
      <c r="L641" s="4" t="s">
        <v>8</v>
      </c>
      <c r="M641" s="4">
        <v>1</v>
      </c>
      <c r="N641" s="19">
        <v>30</v>
      </c>
      <c r="O641" s="15">
        <f>M641 * N641</f>
        <v>30</v>
      </c>
      <c r="P641" s="15">
        <f>O641*$S$3</f>
        <v>0.44999999999999996</v>
      </c>
      <c r="Q641" s="15">
        <f>O641*$S$4</f>
        <v>0.6</v>
      </c>
    </row>
    <row r="642" spans="1:17">
      <c r="A642" s="2">
        <v>731</v>
      </c>
      <c r="B642" s="4">
        <f>DAY(G642)</f>
        <v>10</v>
      </c>
      <c r="C642" s="4">
        <f>MONTH(G642)</f>
        <v>5</v>
      </c>
      <c r="D642" s="4">
        <f>YEAR(G642)</f>
        <v>2023</v>
      </c>
      <c r="E642" s="4" t="str">
        <f>TEXT(G642,"dddd")</f>
        <v>Wednesday</v>
      </c>
      <c r="F642" s="4" t="str">
        <f>TEXT(G642,"mmm")</f>
        <v>May</v>
      </c>
      <c r="G642" s="3">
        <v>45056</v>
      </c>
      <c r="H642" s="4" t="s">
        <v>675</v>
      </c>
      <c r="I642" s="4" t="s">
        <v>24</v>
      </c>
      <c r="J642" s="4" t="str" cm="1">
        <f t="array" ref="J642">_xlfn.IFS(K642&lt;30,"Young Adult",K642&lt;=50,"Adult",K642&gt;50,"Senior")</f>
        <v>Senior</v>
      </c>
      <c r="K642" s="4">
        <v>54</v>
      </c>
      <c r="L642" s="4" t="s">
        <v>8</v>
      </c>
      <c r="M642" s="4">
        <v>4</v>
      </c>
      <c r="N642" s="19">
        <v>500</v>
      </c>
      <c r="O642" s="15">
        <f>M642 * N642</f>
        <v>2000</v>
      </c>
      <c r="P642" s="15">
        <f>O642*$S$3</f>
        <v>30</v>
      </c>
      <c r="Q642" s="15">
        <f>O642*$S$4</f>
        <v>40</v>
      </c>
    </row>
    <row r="643" spans="1:17">
      <c r="A643" s="2">
        <v>930</v>
      </c>
      <c r="B643" s="4">
        <f>DAY(G643)</f>
        <v>10</v>
      </c>
      <c r="C643" s="4">
        <f>MONTH(G643)</f>
        <v>5</v>
      </c>
      <c r="D643" s="4">
        <f>YEAR(G643)</f>
        <v>2023</v>
      </c>
      <c r="E643" s="4" t="str">
        <f>TEXT(G643,"dddd")</f>
        <v>Wednesday</v>
      </c>
      <c r="F643" s="4" t="str">
        <f>TEXT(G643,"mmm")</f>
        <v>May</v>
      </c>
      <c r="G643" s="3">
        <v>45056</v>
      </c>
      <c r="H643" s="4" t="s">
        <v>676</v>
      </c>
      <c r="I643" s="4" t="s">
        <v>24</v>
      </c>
      <c r="J643" s="4" t="str" cm="1">
        <f t="array" ref="J643">_xlfn.IFS(K643&lt;30,"Young Adult",K643&lt;=50,"Adult",K643&gt;50,"Senior")</f>
        <v>Senior</v>
      </c>
      <c r="K643" s="4">
        <v>54</v>
      </c>
      <c r="L643" s="4" t="s">
        <v>8</v>
      </c>
      <c r="M643" s="4">
        <v>4</v>
      </c>
      <c r="N643" s="19">
        <v>50</v>
      </c>
      <c r="O643" s="15">
        <f>M643 * N643</f>
        <v>200</v>
      </c>
      <c r="P643" s="15">
        <f>O643*$S$3</f>
        <v>3</v>
      </c>
      <c r="Q643" s="15">
        <f>O643*$S$4</f>
        <v>4</v>
      </c>
    </row>
    <row r="644" spans="1:17">
      <c r="A644" s="2">
        <v>414</v>
      </c>
      <c r="B644" s="4">
        <f>DAY(G644)</f>
        <v>9</v>
      </c>
      <c r="C644" s="4">
        <f>MONTH(G644)</f>
        <v>5</v>
      </c>
      <c r="D644" s="4">
        <f>YEAR(G644)</f>
        <v>2023</v>
      </c>
      <c r="E644" s="4" t="str">
        <f>TEXT(G644,"dddd")</f>
        <v>Tuesday</v>
      </c>
      <c r="F644" s="4" t="str">
        <f>TEXT(G644,"mmm")</f>
        <v>May</v>
      </c>
      <c r="G644" s="3">
        <v>45055</v>
      </c>
      <c r="H644" s="4" t="s">
        <v>677</v>
      </c>
      <c r="I644" s="4" t="s">
        <v>24</v>
      </c>
      <c r="J644" s="4" t="str" cm="1">
        <f t="array" ref="J644">_xlfn.IFS(K644&lt;30,"Young Adult",K644&lt;=50,"Adult",K644&gt;50,"Senior")</f>
        <v>Adult</v>
      </c>
      <c r="K644" s="4">
        <v>48</v>
      </c>
      <c r="L644" s="4" t="s">
        <v>7</v>
      </c>
      <c r="M644" s="4">
        <v>4</v>
      </c>
      <c r="N644" s="19">
        <v>25</v>
      </c>
      <c r="O644" s="15">
        <f>M644 * N644</f>
        <v>100</v>
      </c>
      <c r="P644" s="15">
        <f>O644*$S$3</f>
        <v>1.5</v>
      </c>
      <c r="Q644" s="15">
        <f>O644*$S$4</f>
        <v>2</v>
      </c>
    </row>
    <row r="645" spans="1:17">
      <c r="A645" s="2">
        <v>883</v>
      </c>
      <c r="B645" s="4">
        <f>DAY(G645)</f>
        <v>9</v>
      </c>
      <c r="C645" s="4">
        <f>MONTH(G645)</f>
        <v>5</v>
      </c>
      <c r="D645" s="4">
        <f>YEAR(G645)</f>
        <v>2023</v>
      </c>
      <c r="E645" s="4" t="str">
        <f>TEXT(G645,"dddd")</f>
        <v>Tuesday</v>
      </c>
      <c r="F645" s="4" t="str">
        <f>TEXT(G645,"mmm")</f>
        <v>May</v>
      </c>
      <c r="G645" s="3">
        <v>45055</v>
      </c>
      <c r="H645" s="4" t="s">
        <v>678</v>
      </c>
      <c r="I645" s="4" t="s">
        <v>24</v>
      </c>
      <c r="J645" s="4" t="str" cm="1">
        <f t="array" ref="J645">_xlfn.IFS(K645&lt;30,"Young Adult",K645&lt;=50,"Adult",K645&gt;50,"Senior")</f>
        <v>Adult</v>
      </c>
      <c r="K645" s="4">
        <v>40</v>
      </c>
      <c r="L645" s="4" t="s">
        <v>9</v>
      </c>
      <c r="M645" s="4">
        <v>1</v>
      </c>
      <c r="N645" s="19">
        <v>500</v>
      </c>
      <c r="O645" s="15">
        <f>M645 * N645</f>
        <v>500</v>
      </c>
      <c r="P645" s="15">
        <f>O645*$S$3</f>
        <v>7.5</v>
      </c>
      <c r="Q645" s="15">
        <f>O645*$S$4</f>
        <v>10</v>
      </c>
    </row>
    <row r="646" spans="1:17">
      <c r="A646" s="2">
        <v>148</v>
      </c>
      <c r="B646" s="4">
        <f>DAY(G646)</f>
        <v>9</v>
      </c>
      <c r="C646" s="4">
        <f>MONTH(G646)</f>
        <v>5</v>
      </c>
      <c r="D646" s="4">
        <f>YEAR(G646)</f>
        <v>2023</v>
      </c>
      <c r="E646" s="4" t="str">
        <f>TEXT(G646,"dddd")</f>
        <v>Tuesday</v>
      </c>
      <c r="F646" s="4" t="str">
        <f>TEXT(G646,"mmm")</f>
        <v>May</v>
      </c>
      <c r="G646" s="3">
        <v>45055</v>
      </c>
      <c r="H646" s="4" t="s">
        <v>679</v>
      </c>
      <c r="I646" s="4" t="s">
        <v>24</v>
      </c>
      <c r="J646" s="4" t="str" cm="1">
        <f t="array" ref="J646">_xlfn.IFS(K646&lt;30,"Young Adult",K646&lt;=50,"Adult",K646&gt;50,"Senior")</f>
        <v>Young Adult</v>
      </c>
      <c r="K646" s="4">
        <v>18</v>
      </c>
      <c r="L646" s="4" t="s">
        <v>8</v>
      </c>
      <c r="M646" s="4">
        <v>2</v>
      </c>
      <c r="N646" s="19">
        <v>30</v>
      </c>
      <c r="O646" s="15">
        <f>M646 * N646</f>
        <v>60</v>
      </c>
      <c r="P646" s="15">
        <f>O646*$S$3</f>
        <v>0.89999999999999991</v>
      </c>
      <c r="Q646" s="15">
        <f>O646*$S$4</f>
        <v>1.2</v>
      </c>
    </row>
    <row r="647" spans="1:17">
      <c r="A647" s="2">
        <v>620</v>
      </c>
      <c r="B647" s="4">
        <f>DAY(G647)</f>
        <v>8</v>
      </c>
      <c r="C647" s="4">
        <f>MONTH(G647)</f>
        <v>5</v>
      </c>
      <c r="D647" s="4">
        <f>YEAR(G647)</f>
        <v>2023</v>
      </c>
      <c r="E647" s="4" t="str">
        <f>TEXT(G647,"dddd")</f>
        <v>Monday</v>
      </c>
      <c r="F647" s="4" t="str">
        <f>TEXT(G647,"mmm")</f>
        <v>May</v>
      </c>
      <c r="G647" s="3">
        <v>45054</v>
      </c>
      <c r="H647" s="4" t="s">
        <v>680</v>
      </c>
      <c r="I647" s="4" t="s">
        <v>24</v>
      </c>
      <c r="J647" s="4" t="str" cm="1">
        <f t="array" ref="J647">_xlfn.IFS(K647&lt;30,"Young Adult",K647&lt;=50,"Adult",K647&gt;50,"Senior")</f>
        <v>Senior</v>
      </c>
      <c r="K647" s="4">
        <v>63</v>
      </c>
      <c r="L647" s="4" t="s">
        <v>9</v>
      </c>
      <c r="M647" s="4">
        <v>3</v>
      </c>
      <c r="N647" s="19">
        <v>25</v>
      </c>
      <c r="O647" s="15">
        <f>M647 * N647</f>
        <v>75</v>
      </c>
      <c r="P647" s="15">
        <f>O647*$S$3</f>
        <v>1.125</v>
      </c>
      <c r="Q647" s="15">
        <f>O647*$S$4</f>
        <v>1.5</v>
      </c>
    </row>
    <row r="648" spans="1:17">
      <c r="A648" s="2">
        <v>946</v>
      </c>
      <c r="B648" s="4">
        <f>DAY(G648)</f>
        <v>8</v>
      </c>
      <c r="C648" s="4">
        <f>MONTH(G648)</f>
        <v>5</v>
      </c>
      <c r="D648" s="4">
        <f>YEAR(G648)</f>
        <v>2023</v>
      </c>
      <c r="E648" s="4" t="str">
        <f>TEXT(G648,"dddd")</f>
        <v>Monday</v>
      </c>
      <c r="F648" s="4" t="str">
        <f>TEXT(G648,"mmm")</f>
        <v>May</v>
      </c>
      <c r="G648" s="3">
        <v>45054</v>
      </c>
      <c r="H648" s="4" t="s">
        <v>681</v>
      </c>
      <c r="I648" s="4" t="s">
        <v>24</v>
      </c>
      <c r="J648" s="4" t="str" cm="1">
        <f t="array" ref="J648">_xlfn.IFS(K648&lt;30,"Young Adult",K648&lt;=50,"Adult",K648&gt;50,"Senior")</f>
        <v>Senior</v>
      </c>
      <c r="K648" s="4">
        <v>62</v>
      </c>
      <c r="L648" s="4" t="s">
        <v>9</v>
      </c>
      <c r="M648" s="4">
        <v>4</v>
      </c>
      <c r="N648" s="19">
        <v>500</v>
      </c>
      <c r="O648" s="15">
        <f>M648 * N648</f>
        <v>2000</v>
      </c>
      <c r="P648" s="15">
        <f>O648*$S$3</f>
        <v>30</v>
      </c>
      <c r="Q648" s="15">
        <f>O648*$S$4</f>
        <v>40</v>
      </c>
    </row>
    <row r="649" spans="1:17">
      <c r="A649" s="2">
        <v>452</v>
      </c>
      <c r="B649" s="4">
        <f>DAY(G649)</f>
        <v>8</v>
      </c>
      <c r="C649" s="4">
        <f>MONTH(G649)</f>
        <v>5</v>
      </c>
      <c r="D649" s="4">
        <f>YEAR(G649)</f>
        <v>2023</v>
      </c>
      <c r="E649" s="4" t="str">
        <f>TEXT(G649,"dddd")</f>
        <v>Monday</v>
      </c>
      <c r="F649" s="4" t="str">
        <f>TEXT(G649,"mmm")</f>
        <v>May</v>
      </c>
      <c r="G649" s="3">
        <v>45054</v>
      </c>
      <c r="H649" s="4" t="s">
        <v>682</v>
      </c>
      <c r="I649" s="4" t="s">
        <v>29</v>
      </c>
      <c r="J649" s="4" t="str" cm="1">
        <f t="array" ref="J649">_xlfn.IFS(K649&lt;30,"Young Adult",K649&lt;=50,"Adult",K649&gt;50,"Senior")</f>
        <v>Adult</v>
      </c>
      <c r="K649" s="4">
        <v>48</v>
      </c>
      <c r="L649" s="4" t="s">
        <v>8</v>
      </c>
      <c r="M649" s="4">
        <v>3</v>
      </c>
      <c r="N649" s="19">
        <v>500</v>
      </c>
      <c r="O649" s="15">
        <f>M649 * N649</f>
        <v>1500</v>
      </c>
      <c r="P649" s="15">
        <f>O649*$S$3</f>
        <v>22.5</v>
      </c>
      <c r="Q649" s="15">
        <f>O649*$S$4</f>
        <v>30</v>
      </c>
    </row>
    <row r="650" spans="1:17">
      <c r="A650" s="2">
        <v>273</v>
      </c>
      <c r="B650" s="4">
        <f>DAY(G650)</f>
        <v>8</v>
      </c>
      <c r="C650" s="4">
        <f>MONTH(G650)</f>
        <v>5</v>
      </c>
      <c r="D650" s="4">
        <f>YEAR(G650)</f>
        <v>2023</v>
      </c>
      <c r="E650" s="4" t="str">
        <f>TEXT(G650,"dddd")</f>
        <v>Monday</v>
      </c>
      <c r="F650" s="4" t="str">
        <f>TEXT(G650,"mmm")</f>
        <v>May</v>
      </c>
      <c r="G650" s="3">
        <v>45054</v>
      </c>
      <c r="H650" s="4" t="s">
        <v>683</v>
      </c>
      <c r="I650" s="4" t="s">
        <v>29</v>
      </c>
      <c r="J650" s="4" t="str" cm="1">
        <f t="array" ref="J650">_xlfn.IFS(K650&lt;30,"Young Adult",K650&lt;=50,"Adult",K650&gt;50,"Senior")</f>
        <v>Young Adult</v>
      </c>
      <c r="K650" s="4">
        <v>22</v>
      </c>
      <c r="L650" s="4" t="s">
        <v>7</v>
      </c>
      <c r="M650" s="4">
        <v>1</v>
      </c>
      <c r="N650" s="19">
        <v>50</v>
      </c>
      <c r="O650" s="15">
        <f>M650 * N650</f>
        <v>50</v>
      </c>
      <c r="P650" s="15">
        <f>O650*$S$3</f>
        <v>0.75</v>
      </c>
      <c r="Q650" s="15">
        <f>O650*$S$4</f>
        <v>1</v>
      </c>
    </row>
    <row r="651" spans="1:17">
      <c r="A651" s="2">
        <v>283</v>
      </c>
      <c r="B651" s="4">
        <f>DAY(G651)</f>
        <v>8</v>
      </c>
      <c r="C651" s="4">
        <f>MONTH(G651)</f>
        <v>5</v>
      </c>
      <c r="D651" s="4">
        <f>YEAR(G651)</f>
        <v>2023</v>
      </c>
      <c r="E651" s="4" t="str">
        <f>TEXT(G651,"dddd")</f>
        <v>Monday</v>
      </c>
      <c r="F651" s="4" t="str">
        <f>TEXT(G651,"mmm")</f>
        <v>May</v>
      </c>
      <c r="G651" s="3">
        <v>45054</v>
      </c>
      <c r="H651" s="4" t="s">
        <v>684</v>
      </c>
      <c r="I651" s="4" t="s">
        <v>29</v>
      </c>
      <c r="J651" s="4" t="str" cm="1">
        <f t="array" ref="J651">_xlfn.IFS(K651&lt;30,"Young Adult",K651&lt;=50,"Adult",K651&gt;50,"Senior")</f>
        <v>Young Adult</v>
      </c>
      <c r="K651" s="4">
        <v>18</v>
      </c>
      <c r="L651" s="4" t="s">
        <v>9</v>
      </c>
      <c r="M651" s="4">
        <v>1</v>
      </c>
      <c r="N651" s="19">
        <v>500</v>
      </c>
      <c r="O651" s="15">
        <f>M651 * N651</f>
        <v>500</v>
      </c>
      <c r="P651" s="15">
        <f>O651*$S$3</f>
        <v>7.5</v>
      </c>
      <c r="Q651" s="15">
        <f>O651*$S$4</f>
        <v>10</v>
      </c>
    </row>
    <row r="652" spans="1:17">
      <c r="A652" s="2">
        <v>469</v>
      </c>
      <c r="B652" s="4">
        <f>DAY(G652)</f>
        <v>8</v>
      </c>
      <c r="C652" s="4">
        <f>MONTH(G652)</f>
        <v>5</v>
      </c>
      <c r="D652" s="4">
        <f>YEAR(G652)</f>
        <v>2023</v>
      </c>
      <c r="E652" s="4" t="str">
        <f>TEXT(G652,"dddd")</f>
        <v>Monday</v>
      </c>
      <c r="F652" s="4" t="str">
        <f>TEXT(G652,"mmm")</f>
        <v>May</v>
      </c>
      <c r="G652" s="3">
        <v>45054</v>
      </c>
      <c r="H652" s="4" t="s">
        <v>685</v>
      </c>
      <c r="I652" s="4" t="s">
        <v>24</v>
      </c>
      <c r="J652" s="4" t="str" cm="1">
        <f t="array" ref="J652">_xlfn.IFS(K652&lt;30,"Young Adult",K652&lt;=50,"Adult",K652&gt;50,"Senior")</f>
        <v>Young Adult</v>
      </c>
      <c r="K652" s="4">
        <v>18</v>
      </c>
      <c r="L652" s="4" t="s">
        <v>7</v>
      </c>
      <c r="M652" s="4">
        <v>3</v>
      </c>
      <c r="N652" s="19">
        <v>25</v>
      </c>
      <c r="O652" s="15">
        <f>M652 * N652</f>
        <v>75</v>
      </c>
      <c r="P652" s="15">
        <f>O652*$S$3</f>
        <v>1.125</v>
      </c>
      <c r="Q652" s="15">
        <f>O652*$S$4</f>
        <v>1.5</v>
      </c>
    </row>
    <row r="653" spans="1:17">
      <c r="A653" s="2">
        <v>120</v>
      </c>
      <c r="B653" s="4">
        <f>DAY(G653)</f>
        <v>7</v>
      </c>
      <c r="C653" s="4">
        <f>MONTH(G653)</f>
        <v>5</v>
      </c>
      <c r="D653" s="4">
        <f>YEAR(G653)</f>
        <v>2023</v>
      </c>
      <c r="E653" s="4" t="str">
        <f>TEXT(G653,"dddd")</f>
        <v>Sunday</v>
      </c>
      <c r="F653" s="4" t="str">
        <f>TEXT(G653,"mmm")</f>
        <v>May</v>
      </c>
      <c r="G653" s="3">
        <v>45053</v>
      </c>
      <c r="H653" s="4" t="s">
        <v>686</v>
      </c>
      <c r="I653" s="4" t="s">
        <v>24</v>
      </c>
      <c r="J653" s="4" t="str" cm="1">
        <f t="array" ref="J653">_xlfn.IFS(K653&lt;30,"Young Adult",K653&lt;=50,"Adult",K653&gt;50,"Senior")</f>
        <v>Senior</v>
      </c>
      <c r="K653" s="4">
        <v>60</v>
      </c>
      <c r="L653" s="4" t="s">
        <v>7</v>
      </c>
      <c r="M653" s="4">
        <v>1</v>
      </c>
      <c r="N653" s="19">
        <v>50</v>
      </c>
      <c r="O653" s="15">
        <f>M653 * N653</f>
        <v>50</v>
      </c>
      <c r="P653" s="15">
        <f>O653*$S$3</f>
        <v>0.75</v>
      </c>
      <c r="Q653" s="15">
        <f>O653*$S$4</f>
        <v>1</v>
      </c>
    </row>
    <row r="654" spans="1:17">
      <c r="A654" s="2">
        <v>640</v>
      </c>
      <c r="B654" s="4">
        <f>DAY(G654)</f>
        <v>7</v>
      </c>
      <c r="C654" s="4">
        <f>MONTH(G654)</f>
        <v>5</v>
      </c>
      <c r="D654" s="4">
        <f>YEAR(G654)</f>
        <v>2023</v>
      </c>
      <c r="E654" s="4" t="str">
        <f>TEXT(G654,"dddd")</f>
        <v>Sunday</v>
      </c>
      <c r="F654" s="4" t="str">
        <f>TEXT(G654,"mmm")</f>
        <v>May</v>
      </c>
      <c r="G654" s="3">
        <v>45053</v>
      </c>
      <c r="H654" s="4" t="s">
        <v>687</v>
      </c>
      <c r="I654" s="4" t="s">
        <v>29</v>
      </c>
      <c r="J654" s="4" t="str" cm="1">
        <f t="array" ref="J654">_xlfn.IFS(K654&lt;30,"Young Adult",K654&lt;=50,"Adult",K654&gt;50,"Senior")</f>
        <v>Senior</v>
      </c>
      <c r="K654" s="4">
        <v>51</v>
      </c>
      <c r="L654" s="4" t="s">
        <v>9</v>
      </c>
      <c r="M654" s="4">
        <v>4</v>
      </c>
      <c r="N654" s="19">
        <v>30</v>
      </c>
      <c r="O654" s="15">
        <f>M654 * N654</f>
        <v>120</v>
      </c>
      <c r="P654" s="15">
        <f>O654*$S$3</f>
        <v>1.7999999999999998</v>
      </c>
      <c r="Q654" s="15">
        <f>O654*$S$4</f>
        <v>2.4</v>
      </c>
    </row>
    <row r="655" spans="1:17">
      <c r="A655" s="2">
        <v>744</v>
      </c>
      <c r="B655" s="4">
        <f>DAY(G655)</f>
        <v>7</v>
      </c>
      <c r="C655" s="4">
        <f>MONTH(G655)</f>
        <v>5</v>
      </c>
      <c r="D655" s="4">
        <f>YEAR(G655)</f>
        <v>2023</v>
      </c>
      <c r="E655" s="4" t="str">
        <f>TEXT(G655,"dddd")</f>
        <v>Sunday</v>
      </c>
      <c r="F655" s="4" t="str">
        <f>TEXT(G655,"mmm")</f>
        <v>May</v>
      </c>
      <c r="G655" s="3">
        <v>45053</v>
      </c>
      <c r="H655" s="4" t="s">
        <v>688</v>
      </c>
      <c r="I655" s="4" t="s">
        <v>24</v>
      </c>
      <c r="J655" s="4" t="str" cm="1">
        <f t="array" ref="J655">_xlfn.IFS(K655&lt;30,"Young Adult",K655&lt;=50,"Adult",K655&gt;50,"Senior")</f>
        <v>Adult</v>
      </c>
      <c r="K655" s="4">
        <v>40</v>
      </c>
      <c r="L655" s="4" t="s">
        <v>9</v>
      </c>
      <c r="M655" s="4">
        <v>1</v>
      </c>
      <c r="N655" s="19">
        <v>25</v>
      </c>
      <c r="O655" s="15">
        <f>M655 * N655</f>
        <v>25</v>
      </c>
      <c r="P655" s="15">
        <f>O655*$S$3</f>
        <v>0.375</v>
      </c>
      <c r="Q655" s="15">
        <f>O655*$S$4</f>
        <v>0.5</v>
      </c>
    </row>
    <row r="656" spans="1:17">
      <c r="A656" s="2">
        <v>221</v>
      </c>
      <c r="B656" s="4">
        <f>DAY(G656)</f>
        <v>7</v>
      </c>
      <c r="C656" s="4">
        <f>MONTH(G656)</f>
        <v>5</v>
      </c>
      <c r="D656" s="4">
        <f>YEAR(G656)</f>
        <v>2023</v>
      </c>
      <c r="E656" s="4" t="str">
        <f>TEXT(G656,"dddd")</f>
        <v>Sunday</v>
      </c>
      <c r="F656" s="4" t="str">
        <f>TEXT(G656,"mmm")</f>
        <v>May</v>
      </c>
      <c r="G656" s="3">
        <v>45053</v>
      </c>
      <c r="H656" s="4" t="s">
        <v>689</v>
      </c>
      <c r="I656" s="4" t="s">
        <v>24</v>
      </c>
      <c r="J656" s="4" t="str" cm="1">
        <f t="array" ref="J656">_xlfn.IFS(K656&lt;30,"Young Adult",K656&lt;=50,"Adult",K656&gt;50,"Senior")</f>
        <v>Adult</v>
      </c>
      <c r="K656" s="4">
        <v>39</v>
      </c>
      <c r="L656" s="4" t="s">
        <v>7</v>
      </c>
      <c r="M656" s="4">
        <v>2</v>
      </c>
      <c r="N656" s="19">
        <v>300</v>
      </c>
      <c r="O656" s="15">
        <f>M656 * N656</f>
        <v>600</v>
      </c>
      <c r="P656" s="15">
        <f>O656*$S$3</f>
        <v>9</v>
      </c>
      <c r="Q656" s="15">
        <f>O656*$S$4</f>
        <v>12</v>
      </c>
    </row>
    <row r="657" spans="1:19">
      <c r="A657" s="2">
        <v>341</v>
      </c>
      <c r="B657" s="4">
        <f>DAY(G657)</f>
        <v>7</v>
      </c>
      <c r="C657" s="4">
        <f>MONTH(G657)</f>
        <v>5</v>
      </c>
      <c r="D657" s="4">
        <f>YEAR(G657)</f>
        <v>2023</v>
      </c>
      <c r="E657" s="4" t="str">
        <f>TEXT(G657,"dddd")</f>
        <v>Sunday</v>
      </c>
      <c r="F657" s="4" t="str">
        <f>TEXT(G657,"mmm")</f>
        <v>May</v>
      </c>
      <c r="G657" s="3">
        <v>45053</v>
      </c>
      <c r="H657" s="4" t="s">
        <v>690</v>
      </c>
      <c r="I657" s="4" t="s">
        <v>24</v>
      </c>
      <c r="J657" s="4" t="str" cm="1">
        <f t="array" ref="J657">_xlfn.IFS(K657&lt;30,"Young Adult",K657&lt;=50,"Adult",K657&gt;50,"Senior")</f>
        <v>Adult</v>
      </c>
      <c r="K657" s="4">
        <v>31</v>
      </c>
      <c r="L657" s="4" t="s">
        <v>8</v>
      </c>
      <c r="M657" s="4">
        <v>4</v>
      </c>
      <c r="N657" s="19">
        <v>50</v>
      </c>
      <c r="O657" s="15">
        <f>M657 * N657</f>
        <v>200</v>
      </c>
      <c r="P657" s="15">
        <f>O657*$S$3</f>
        <v>3</v>
      </c>
      <c r="Q657" s="15">
        <f>O657*$S$4</f>
        <v>4</v>
      </c>
    </row>
    <row r="658" spans="1:19">
      <c r="A658" s="2">
        <v>380</v>
      </c>
      <c r="B658" s="4">
        <f>DAY(G658)</f>
        <v>6</v>
      </c>
      <c r="C658" s="4">
        <f>MONTH(G658)</f>
        <v>5</v>
      </c>
      <c r="D658" s="4">
        <f>YEAR(G658)</f>
        <v>2023</v>
      </c>
      <c r="E658" s="4" t="str">
        <f>TEXT(G658,"dddd")</f>
        <v>Saturday</v>
      </c>
      <c r="F658" s="4" t="str">
        <f>TEXT(G658,"mmm")</f>
        <v>May</v>
      </c>
      <c r="G658" s="3">
        <v>45052</v>
      </c>
      <c r="H658" s="4" t="s">
        <v>691</v>
      </c>
      <c r="I658" s="4" t="s">
        <v>24</v>
      </c>
      <c r="J658" s="4" t="str" cm="1">
        <f t="array" ref="J658">_xlfn.IFS(K658&lt;30,"Young Adult",K658&lt;=50,"Adult",K658&gt;50,"Senior")</f>
        <v>Senior</v>
      </c>
      <c r="K658" s="4">
        <v>56</v>
      </c>
      <c r="L658" s="4" t="s">
        <v>9</v>
      </c>
      <c r="M658" s="4">
        <v>2</v>
      </c>
      <c r="N658" s="19">
        <v>300</v>
      </c>
      <c r="O658" s="15">
        <f>M658 * N658</f>
        <v>600</v>
      </c>
      <c r="P658" s="15">
        <f>O658*$S$3</f>
        <v>9</v>
      </c>
      <c r="Q658" s="15">
        <f>O658*$S$4</f>
        <v>12</v>
      </c>
    </row>
    <row r="659" spans="1:19">
      <c r="A659" s="2">
        <v>90</v>
      </c>
      <c r="B659" s="4">
        <f>DAY(G659)</f>
        <v>6</v>
      </c>
      <c r="C659" s="4">
        <f>MONTH(G659)</f>
        <v>5</v>
      </c>
      <c r="D659" s="4">
        <f>YEAR(G659)</f>
        <v>2023</v>
      </c>
      <c r="E659" s="4" t="str">
        <f>TEXT(G659,"dddd")</f>
        <v>Saturday</v>
      </c>
      <c r="F659" s="4" t="str">
        <f>TEXT(G659,"mmm")</f>
        <v>May</v>
      </c>
      <c r="G659" s="3">
        <v>45052</v>
      </c>
      <c r="H659" s="4" t="s">
        <v>692</v>
      </c>
      <c r="I659" s="4" t="s">
        <v>29</v>
      </c>
      <c r="J659" s="4" t="str" cm="1">
        <f t="array" ref="J659">_xlfn.IFS(K659&lt;30,"Young Adult",K659&lt;=50,"Adult",K659&gt;50,"Senior")</f>
        <v>Senior</v>
      </c>
      <c r="K659" s="4">
        <v>51</v>
      </c>
      <c r="L659" s="4" t="s">
        <v>9</v>
      </c>
      <c r="M659" s="4">
        <v>1</v>
      </c>
      <c r="N659" s="19">
        <v>30</v>
      </c>
      <c r="O659" s="15">
        <f>M659 * N659</f>
        <v>30</v>
      </c>
      <c r="P659" s="15">
        <f>O659*$S$3</f>
        <v>0.44999999999999996</v>
      </c>
      <c r="Q659" s="15">
        <f>O659*$S$4</f>
        <v>0.6</v>
      </c>
    </row>
    <row r="660" spans="1:19">
      <c r="A660" s="2">
        <v>820</v>
      </c>
      <c r="B660" s="4">
        <f>DAY(G660)</f>
        <v>6</v>
      </c>
      <c r="C660" s="4">
        <f>MONTH(G660)</f>
        <v>5</v>
      </c>
      <c r="D660" s="4">
        <f>YEAR(G660)</f>
        <v>2023</v>
      </c>
      <c r="E660" s="4" t="str">
        <f>TEXT(G660,"dddd")</f>
        <v>Saturday</v>
      </c>
      <c r="F660" s="4" t="str">
        <f>TEXT(G660,"mmm")</f>
        <v>May</v>
      </c>
      <c r="G660" s="3">
        <v>45052</v>
      </c>
      <c r="H660" s="4" t="s">
        <v>693</v>
      </c>
      <c r="I660" s="4" t="s">
        <v>24</v>
      </c>
      <c r="J660" s="4" t="str" cm="1">
        <f t="array" ref="J660">_xlfn.IFS(K660&lt;30,"Young Adult",K660&lt;=50,"Adult",K660&gt;50,"Senior")</f>
        <v>Adult</v>
      </c>
      <c r="K660" s="4">
        <v>49</v>
      </c>
      <c r="L660" s="4" t="s">
        <v>9</v>
      </c>
      <c r="M660" s="4">
        <v>4</v>
      </c>
      <c r="N660" s="19">
        <v>50</v>
      </c>
      <c r="O660" s="15">
        <f>M660 * N660</f>
        <v>200</v>
      </c>
      <c r="P660" s="15">
        <f>O660*$S$3</f>
        <v>3</v>
      </c>
      <c r="Q660" s="15">
        <f>O660*$S$4</f>
        <v>4</v>
      </c>
      <c r="S660" s="14"/>
    </row>
    <row r="661" spans="1:19">
      <c r="A661" s="2">
        <v>593</v>
      </c>
      <c r="B661" s="4">
        <f>DAY(G661)</f>
        <v>6</v>
      </c>
      <c r="C661" s="4">
        <f>MONTH(G661)</f>
        <v>5</v>
      </c>
      <c r="D661" s="4">
        <f>YEAR(G661)</f>
        <v>2023</v>
      </c>
      <c r="E661" s="4" t="str">
        <f>TEXT(G661,"dddd")</f>
        <v>Saturday</v>
      </c>
      <c r="F661" s="4" t="str">
        <f>TEXT(G661,"mmm")</f>
        <v>May</v>
      </c>
      <c r="G661" s="3">
        <v>45052</v>
      </c>
      <c r="H661" s="4" t="s">
        <v>694</v>
      </c>
      <c r="I661" s="4" t="s">
        <v>24</v>
      </c>
      <c r="J661" s="4" t="str" cm="1">
        <f t="array" ref="J661">_xlfn.IFS(K661&lt;30,"Young Adult",K661&lt;=50,"Adult",K661&gt;50,"Senior")</f>
        <v>Adult</v>
      </c>
      <c r="K661" s="4">
        <v>35</v>
      </c>
      <c r="L661" s="4" t="s">
        <v>9</v>
      </c>
      <c r="M661" s="4">
        <v>2</v>
      </c>
      <c r="N661" s="19">
        <v>30</v>
      </c>
      <c r="O661" s="15">
        <f>M661 * N661</f>
        <v>60</v>
      </c>
      <c r="P661" s="15">
        <f>O661*$S$3</f>
        <v>0.89999999999999991</v>
      </c>
      <c r="Q661" s="15">
        <f>O661*$S$4</f>
        <v>1.2</v>
      </c>
    </row>
    <row r="662" spans="1:19">
      <c r="A662" s="2">
        <v>5</v>
      </c>
      <c r="B662" s="4">
        <f>DAY(G662)</f>
        <v>6</v>
      </c>
      <c r="C662" s="4">
        <f>MONTH(G662)</f>
        <v>5</v>
      </c>
      <c r="D662" s="4">
        <f>YEAR(G662)</f>
        <v>2023</v>
      </c>
      <c r="E662" s="4" t="str">
        <f>TEXT(G662,"dddd")</f>
        <v>Saturday</v>
      </c>
      <c r="F662" s="4" t="str">
        <f>TEXT(G662,"mmm")</f>
        <v>May</v>
      </c>
      <c r="G662" s="3">
        <v>45052</v>
      </c>
      <c r="H662" s="4" t="s">
        <v>695</v>
      </c>
      <c r="I662" s="4" t="s">
        <v>24</v>
      </c>
      <c r="J662" s="4" t="str" cm="1">
        <f t="array" ref="J662">_xlfn.IFS(K662&lt;30,"Young Adult",K662&lt;=50,"Adult",K662&gt;50,"Senior")</f>
        <v>Adult</v>
      </c>
      <c r="K662" s="4">
        <v>30</v>
      </c>
      <c r="L662" s="4" t="s">
        <v>7</v>
      </c>
      <c r="M662" s="4">
        <v>2</v>
      </c>
      <c r="N662" s="19">
        <v>50</v>
      </c>
      <c r="O662" s="15">
        <f>M662 * N662</f>
        <v>100</v>
      </c>
      <c r="P662" s="15">
        <f>O662*$S$3</f>
        <v>1.5</v>
      </c>
      <c r="Q662" s="15">
        <f>O662*$S$4</f>
        <v>2</v>
      </c>
    </row>
    <row r="663" spans="1:19">
      <c r="A663" s="2">
        <v>824</v>
      </c>
      <c r="B663" s="4">
        <f>DAY(G663)</f>
        <v>5</v>
      </c>
      <c r="C663" s="4">
        <f>MONTH(G663)</f>
        <v>5</v>
      </c>
      <c r="D663" s="4">
        <f>YEAR(G663)</f>
        <v>2023</v>
      </c>
      <c r="E663" s="4" t="str">
        <f>TEXT(G663,"dddd")</f>
        <v>Friday</v>
      </c>
      <c r="F663" s="4" t="str">
        <f>TEXT(G663,"mmm")</f>
        <v>May</v>
      </c>
      <c r="G663" s="3">
        <v>45051</v>
      </c>
      <c r="H663" s="4" t="s">
        <v>696</v>
      </c>
      <c r="I663" s="4" t="s">
        <v>24</v>
      </c>
      <c r="J663" s="4" t="str" cm="1">
        <f t="array" ref="J663">_xlfn.IFS(K663&lt;30,"Young Adult",K663&lt;=50,"Adult",K663&gt;50,"Senior")</f>
        <v>Senior</v>
      </c>
      <c r="K663" s="4">
        <v>63</v>
      </c>
      <c r="L663" s="4" t="s">
        <v>8</v>
      </c>
      <c r="M663" s="4">
        <v>4</v>
      </c>
      <c r="N663" s="19">
        <v>30</v>
      </c>
      <c r="O663" s="15">
        <f>M663 * N663</f>
        <v>120</v>
      </c>
      <c r="P663" s="15">
        <f>O663*$S$3</f>
        <v>1.7999999999999998</v>
      </c>
      <c r="Q663" s="15">
        <f>O663*$S$4</f>
        <v>2.4</v>
      </c>
    </row>
    <row r="664" spans="1:19">
      <c r="A664" s="2">
        <v>779</v>
      </c>
      <c r="B664" s="4">
        <f>DAY(G664)</f>
        <v>5</v>
      </c>
      <c r="C664" s="4">
        <f>MONTH(G664)</f>
        <v>5</v>
      </c>
      <c r="D664" s="4">
        <f>YEAR(G664)</f>
        <v>2023</v>
      </c>
      <c r="E664" s="4" t="str">
        <f>TEXT(G664,"dddd")</f>
        <v>Friday</v>
      </c>
      <c r="F664" s="4" t="str">
        <f>TEXT(G664,"mmm")</f>
        <v>May</v>
      </c>
      <c r="G664" s="3">
        <v>45051</v>
      </c>
      <c r="H664" s="4" t="s">
        <v>697</v>
      </c>
      <c r="I664" s="4" t="s">
        <v>29</v>
      </c>
      <c r="J664" s="4" t="str" cm="1">
        <f t="array" ref="J664">_xlfn.IFS(K664&lt;30,"Young Adult",K664&lt;=50,"Adult",K664&gt;50,"Senior")</f>
        <v>Senior</v>
      </c>
      <c r="K664" s="4">
        <v>56</v>
      </c>
      <c r="L664" s="4" t="s">
        <v>9</v>
      </c>
      <c r="M664" s="4">
        <v>2</v>
      </c>
      <c r="N664" s="19">
        <v>500</v>
      </c>
      <c r="O664" s="15">
        <f>M664 * N664</f>
        <v>1000</v>
      </c>
      <c r="P664" s="15">
        <f>O664*$S$3</f>
        <v>15</v>
      </c>
      <c r="Q664" s="15">
        <f>O664*$S$4</f>
        <v>20</v>
      </c>
    </row>
    <row r="665" spans="1:19">
      <c r="A665" s="2">
        <v>252</v>
      </c>
      <c r="B665" s="4">
        <f>DAY(G665)</f>
        <v>5</v>
      </c>
      <c r="C665" s="4">
        <f>MONTH(G665)</f>
        <v>5</v>
      </c>
      <c r="D665" s="4">
        <f>YEAR(G665)</f>
        <v>2023</v>
      </c>
      <c r="E665" s="4" t="str">
        <f>TEXT(G665,"dddd")</f>
        <v>Friday</v>
      </c>
      <c r="F665" s="4" t="str">
        <f>TEXT(G665,"mmm")</f>
        <v>May</v>
      </c>
      <c r="G665" s="3">
        <v>45051</v>
      </c>
      <c r="H665" s="4" t="s">
        <v>698</v>
      </c>
      <c r="I665" s="4" t="s">
        <v>24</v>
      </c>
      <c r="J665" s="4" t="str" cm="1">
        <f t="array" ref="J665">_xlfn.IFS(K665&lt;30,"Young Adult",K665&lt;=50,"Adult",K665&gt;50,"Senior")</f>
        <v>Senior</v>
      </c>
      <c r="K665" s="4">
        <v>54</v>
      </c>
      <c r="L665" s="4" t="s">
        <v>9</v>
      </c>
      <c r="M665" s="4">
        <v>1</v>
      </c>
      <c r="N665" s="19">
        <v>300</v>
      </c>
      <c r="O665" s="15">
        <f>M665 * N665</f>
        <v>300</v>
      </c>
      <c r="P665" s="15">
        <f>O665*$S$3</f>
        <v>4.5</v>
      </c>
      <c r="Q665" s="15">
        <f>O665*$S$4</f>
        <v>6</v>
      </c>
    </row>
    <row r="666" spans="1:19">
      <c r="A666" s="2">
        <v>866</v>
      </c>
      <c r="B666" s="4">
        <f>DAY(G666)</f>
        <v>5</v>
      </c>
      <c r="C666" s="4">
        <f>MONTH(G666)</f>
        <v>5</v>
      </c>
      <c r="D666" s="4">
        <f>YEAR(G666)</f>
        <v>2023</v>
      </c>
      <c r="E666" s="4" t="str">
        <f>TEXT(G666,"dddd")</f>
        <v>Friday</v>
      </c>
      <c r="F666" s="4" t="str">
        <f>TEXT(G666,"mmm")</f>
        <v>May</v>
      </c>
      <c r="G666" s="3">
        <v>45051</v>
      </c>
      <c r="H666" s="4" t="s">
        <v>699</v>
      </c>
      <c r="I666" s="4" t="s">
        <v>24</v>
      </c>
      <c r="J666" s="4" t="str" cm="1">
        <f t="array" ref="J666">_xlfn.IFS(K666&lt;30,"Young Adult",K666&lt;=50,"Adult",K666&gt;50,"Senior")</f>
        <v>Young Adult</v>
      </c>
      <c r="K666" s="4">
        <v>24</v>
      </c>
      <c r="L666" s="4" t="s">
        <v>9</v>
      </c>
      <c r="M666" s="4">
        <v>1</v>
      </c>
      <c r="N666" s="19">
        <v>50</v>
      </c>
      <c r="O666" s="15">
        <f>M666 * N666</f>
        <v>50</v>
      </c>
      <c r="P666" s="15">
        <f>O666*$S$3</f>
        <v>0.75</v>
      </c>
      <c r="Q666" s="15">
        <f>O666*$S$4</f>
        <v>1</v>
      </c>
    </row>
    <row r="667" spans="1:19">
      <c r="A667" s="2">
        <v>606</v>
      </c>
      <c r="B667" s="4">
        <f>DAY(G667)</f>
        <v>5</v>
      </c>
      <c r="C667" s="4">
        <f>MONTH(G667)</f>
        <v>5</v>
      </c>
      <c r="D667" s="4">
        <f>YEAR(G667)</f>
        <v>2023</v>
      </c>
      <c r="E667" s="4" t="str">
        <f>TEXT(G667,"dddd")</f>
        <v>Friday</v>
      </c>
      <c r="F667" s="4" t="str">
        <f>TEXT(G667,"mmm")</f>
        <v>May</v>
      </c>
      <c r="G667" s="3">
        <v>45051</v>
      </c>
      <c r="H667" s="4" t="s">
        <v>700</v>
      </c>
      <c r="I667" s="4" t="s">
        <v>24</v>
      </c>
      <c r="J667" s="4" t="str" cm="1">
        <f t="array" ref="J667">_xlfn.IFS(K667&lt;30,"Young Adult",K667&lt;=50,"Adult",K667&gt;50,"Senior")</f>
        <v>Young Adult</v>
      </c>
      <c r="K667" s="4">
        <v>22</v>
      </c>
      <c r="L667" s="4" t="s">
        <v>9</v>
      </c>
      <c r="M667" s="4">
        <v>1</v>
      </c>
      <c r="N667" s="19">
        <v>50</v>
      </c>
      <c r="O667" s="15">
        <f>M667 * N667</f>
        <v>50</v>
      </c>
      <c r="P667" s="15">
        <f>O667*$S$3</f>
        <v>0.75</v>
      </c>
      <c r="Q667" s="15">
        <f>O667*$S$4</f>
        <v>1</v>
      </c>
    </row>
    <row r="668" spans="1:19">
      <c r="A668" s="2">
        <v>190</v>
      </c>
      <c r="B668" s="4">
        <f>DAY(G668)</f>
        <v>4</v>
      </c>
      <c r="C668" s="4">
        <f>MONTH(G668)</f>
        <v>5</v>
      </c>
      <c r="D668" s="4">
        <f>YEAR(G668)</f>
        <v>2023</v>
      </c>
      <c r="E668" s="4" t="str">
        <f>TEXT(G668,"dddd")</f>
        <v>Thursday</v>
      </c>
      <c r="F668" s="4" t="str">
        <f>TEXT(G668,"mmm")</f>
        <v>May</v>
      </c>
      <c r="G668" s="3">
        <v>45050</v>
      </c>
      <c r="H668" s="4" t="s">
        <v>701</v>
      </c>
      <c r="I668" s="4" t="s">
        <v>29</v>
      </c>
      <c r="J668" s="4" t="str" cm="1">
        <f t="array" ref="J668">_xlfn.IFS(K668&lt;30,"Young Adult",K668&lt;=50,"Adult",K668&gt;50,"Senior")</f>
        <v>Senior</v>
      </c>
      <c r="K668" s="4">
        <v>60</v>
      </c>
      <c r="L668" s="4" t="s">
        <v>7</v>
      </c>
      <c r="M668" s="4">
        <v>3</v>
      </c>
      <c r="N668" s="19">
        <v>30</v>
      </c>
      <c r="O668" s="15">
        <f>M668 * N668</f>
        <v>90</v>
      </c>
      <c r="P668" s="15">
        <f>O668*$S$3</f>
        <v>1.3499999999999999</v>
      </c>
      <c r="Q668" s="15">
        <f>O668*$S$4</f>
        <v>1.8</v>
      </c>
    </row>
    <row r="669" spans="1:19">
      <c r="A669" s="2">
        <v>849</v>
      </c>
      <c r="B669" s="4">
        <f>DAY(G669)</f>
        <v>4</v>
      </c>
      <c r="C669" s="4">
        <f>MONTH(G669)</f>
        <v>5</v>
      </c>
      <c r="D669" s="4">
        <f>YEAR(G669)</f>
        <v>2023</v>
      </c>
      <c r="E669" s="4" t="str">
        <f>TEXT(G669,"dddd")</f>
        <v>Thursday</v>
      </c>
      <c r="F669" s="4" t="str">
        <f>TEXT(G669,"mmm")</f>
        <v>May</v>
      </c>
      <c r="G669" s="3">
        <v>45050</v>
      </c>
      <c r="H669" s="4" t="s">
        <v>702</v>
      </c>
      <c r="I669" s="4" t="s">
        <v>24</v>
      </c>
      <c r="J669" s="4" t="str" cm="1">
        <f t="array" ref="J669">_xlfn.IFS(K669&lt;30,"Young Adult",K669&lt;=50,"Adult",K669&gt;50,"Senior")</f>
        <v>Adult</v>
      </c>
      <c r="K669" s="4">
        <v>32</v>
      </c>
      <c r="L669" s="4" t="s">
        <v>8</v>
      </c>
      <c r="M669" s="4">
        <v>2</v>
      </c>
      <c r="N669" s="19">
        <v>25</v>
      </c>
      <c r="O669" s="15">
        <f>M669 * N669</f>
        <v>50</v>
      </c>
      <c r="P669" s="15">
        <f>O669*$S$3</f>
        <v>0.75</v>
      </c>
      <c r="Q669" s="15">
        <f>O669*$S$4</f>
        <v>1</v>
      </c>
    </row>
    <row r="670" spans="1:19">
      <c r="A670" s="2">
        <v>853</v>
      </c>
      <c r="B670" s="4">
        <f>DAY(G670)</f>
        <v>4</v>
      </c>
      <c r="C670" s="4">
        <f>MONTH(G670)</f>
        <v>5</v>
      </c>
      <c r="D670" s="4">
        <f>YEAR(G670)</f>
        <v>2023</v>
      </c>
      <c r="E670" s="4" t="str">
        <f>TEXT(G670,"dddd")</f>
        <v>Thursday</v>
      </c>
      <c r="F670" s="4" t="str">
        <f>TEXT(G670,"mmm")</f>
        <v>May</v>
      </c>
      <c r="G670" s="3">
        <v>45050</v>
      </c>
      <c r="H670" s="4" t="s">
        <v>703</v>
      </c>
      <c r="I670" s="4" t="s">
        <v>24</v>
      </c>
      <c r="J670" s="4" t="str" cm="1">
        <f t="array" ref="J670">_xlfn.IFS(K670&lt;30,"Young Adult",K670&lt;=50,"Adult",K670&gt;50,"Senior")</f>
        <v>Young Adult</v>
      </c>
      <c r="K670" s="4">
        <v>21</v>
      </c>
      <c r="L670" s="4" t="s">
        <v>7</v>
      </c>
      <c r="M670" s="4">
        <v>2</v>
      </c>
      <c r="N670" s="19">
        <v>500</v>
      </c>
      <c r="O670" s="15">
        <f>M670 * N670</f>
        <v>1000</v>
      </c>
      <c r="P670" s="15">
        <f>O670*$S$3</f>
        <v>15</v>
      </c>
      <c r="Q670" s="15">
        <f>O670*$S$4</f>
        <v>20</v>
      </c>
    </row>
    <row r="671" spans="1:19">
      <c r="A671" s="2">
        <v>974</v>
      </c>
      <c r="B671" s="4">
        <f>DAY(G671)</f>
        <v>3</v>
      </c>
      <c r="C671" s="4">
        <f>MONTH(G671)</f>
        <v>5</v>
      </c>
      <c r="D671" s="4">
        <f>YEAR(G671)</f>
        <v>2023</v>
      </c>
      <c r="E671" s="4" t="str">
        <f>TEXT(G671,"dddd")</f>
        <v>Wednesday</v>
      </c>
      <c r="F671" s="4" t="str">
        <f>TEXT(G671,"mmm")</f>
        <v>May</v>
      </c>
      <c r="G671" s="3">
        <v>45049</v>
      </c>
      <c r="H671" s="4" t="s">
        <v>704</v>
      </c>
      <c r="I671" s="4" t="s">
        <v>24</v>
      </c>
      <c r="J671" s="4" t="str" cm="1">
        <f t="array" ref="J671">_xlfn.IFS(K671&lt;30,"Young Adult",K671&lt;=50,"Adult",K671&gt;50,"Senior")</f>
        <v>Adult</v>
      </c>
      <c r="K671" s="4">
        <v>47</v>
      </c>
      <c r="L671" s="4" t="s">
        <v>7</v>
      </c>
      <c r="M671" s="4">
        <v>1</v>
      </c>
      <c r="N671" s="19">
        <v>30</v>
      </c>
      <c r="O671" s="15">
        <f>M671 * N671</f>
        <v>30</v>
      </c>
      <c r="P671" s="15">
        <f>O671*$S$3</f>
        <v>0.44999999999999996</v>
      </c>
      <c r="Q671" s="15">
        <f>O671*$S$4</f>
        <v>0.6</v>
      </c>
    </row>
    <row r="672" spans="1:19">
      <c r="A672" s="2">
        <v>749</v>
      </c>
      <c r="B672" s="4">
        <f>DAY(G672)</f>
        <v>3</v>
      </c>
      <c r="C672" s="4">
        <f>MONTH(G672)</f>
        <v>5</v>
      </c>
      <c r="D672" s="4">
        <f>YEAR(G672)</f>
        <v>2023</v>
      </c>
      <c r="E672" s="4" t="str">
        <f>TEXT(G672,"dddd")</f>
        <v>Wednesday</v>
      </c>
      <c r="F672" s="4" t="str">
        <f>TEXT(G672,"mmm")</f>
        <v>May</v>
      </c>
      <c r="G672" s="3">
        <v>45049</v>
      </c>
      <c r="H672" s="4" t="s">
        <v>705</v>
      </c>
      <c r="I672" s="4" t="s">
        <v>24</v>
      </c>
      <c r="J672" s="4" t="str" cm="1">
        <f t="array" ref="J672">_xlfn.IFS(K672&lt;30,"Young Adult",K672&lt;=50,"Adult",K672&gt;50,"Senior")</f>
        <v>Adult</v>
      </c>
      <c r="K672" s="4">
        <v>42</v>
      </c>
      <c r="L672" s="4" t="s">
        <v>7</v>
      </c>
      <c r="M672" s="4">
        <v>1</v>
      </c>
      <c r="N672" s="19">
        <v>30</v>
      </c>
      <c r="O672" s="15">
        <f>M672 * N672</f>
        <v>30</v>
      </c>
      <c r="P672" s="15">
        <f>O672*$S$3</f>
        <v>0.44999999999999996</v>
      </c>
      <c r="Q672" s="15">
        <f>O672*$S$4</f>
        <v>0.6</v>
      </c>
    </row>
    <row r="673" spans="1:17">
      <c r="A673" s="2">
        <v>188</v>
      </c>
      <c r="B673" s="4">
        <f>DAY(G673)</f>
        <v>3</v>
      </c>
      <c r="C673" s="4">
        <f>MONTH(G673)</f>
        <v>5</v>
      </c>
      <c r="D673" s="4">
        <f>YEAR(G673)</f>
        <v>2023</v>
      </c>
      <c r="E673" s="4" t="str">
        <f>TEXT(G673,"dddd")</f>
        <v>Wednesday</v>
      </c>
      <c r="F673" s="4" t="str">
        <f>TEXT(G673,"mmm")</f>
        <v>May</v>
      </c>
      <c r="G673" s="3">
        <v>45049</v>
      </c>
      <c r="H673" s="4" t="s">
        <v>706</v>
      </c>
      <c r="I673" s="4" t="s">
        <v>24</v>
      </c>
      <c r="J673" s="4" t="str" cm="1">
        <f t="array" ref="J673">_xlfn.IFS(K673&lt;30,"Young Adult",K673&lt;=50,"Adult",K673&gt;50,"Senior")</f>
        <v>Adult</v>
      </c>
      <c r="K673" s="4">
        <v>40</v>
      </c>
      <c r="L673" s="4" t="s">
        <v>8</v>
      </c>
      <c r="M673" s="4">
        <v>3</v>
      </c>
      <c r="N673" s="19">
        <v>25</v>
      </c>
      <c r="O673" s="15">
        <f>M673 * N673</f>
        <v>75</v>
      </c>
      <c r="P673" s="15">
        <f>O673*$S$3</f>
        <v>1.125</v>
      </c>
      <c r="Q673" s="15">
        <f>O673*$S$4</f>
        <v>1.5</v>
      </c>
    </row>
    <row r="674" spans="1:17">
      <c r="A674" s="2">
        <v>357</v>
      </c>
      <c r="B674" s="4">
        <f>DAY(G674)</f>
        <v>3</v>
      </c>
      <c r="C674" s="4">
        <f>MONTH(G674)</f>
        <v>5</v>
      </c>
      <c r="D674" s="4">
        <f>YEAR(G674)</f>
        <v>2023</v>
      </c>
      <c r="E674" s="4" t="str">
        <f>TEXT(G674,"dddd")</f>
        <v>Wednesday</v>
      </c>
      <c r="F674" s="4" t="str">
        <f>TEXT(G674,"mmm")</f>
        <v>May</v>
      </c>
      <c r="G674" s="3">
        <v>45049</v>
      </c>
      <c r="H674" s="4" t="s">
        <v>707</v>
      </c>
      <c r="I674" s="4" t="s">
        <v>29</v>
      </c>
      <c r="J674" s="4" t="str" cm="1">
        <f t="array" ref="J674">_xlfn.IFS(K674&lt;30,"Young Adult",K674&lt;=50,"Adult",K674&gt;50,"Senior")</f>
        <v>Adult</v>
      </c>
      <c r="K674" s="4">
        <v>40</v>
      </c>
      <c r="L674" s="4" t="s">
        <v>9</v>
      </c>
      <c r="M674" s="4">
        <v>3</v>
      </c>
      <c r="N674" s="19">
        <v>25</v>
      </c>
      <c r="O674" s="15">
        <f>M674 * N674</f>
        <v>75</v>
      </c>
      <c r="P674" s="15">
        <f>O674*$S$3</f>
        <v>1.125</v>
      </c>
      <c r="Q674" s="15">
        <f>O674*$S$4</f>
        <v>1.5</v>
      </c>
    </row>
    <row r="675" spans="1:17">
      <c r="A675" s="2">
        <v>646</v>
      </c>
      <c r="B675" s="4">
        <f>DAY(G675)</f>
        <v>3</v>
      </c>
      <c r="C675" s="4">
        <f>MONTH(G675)</f>
        <v>5</v>
      </c>
      <c r="D675" s="4">
        <f>YEAR(G675)</f>
        <v>2023</v>
      </c>
      <c r="E675" s="4" t="str">
        <f>TEXT(G675,"dddd")</f>
        <v>Wednesday</v>
      </c>
      <c r="F675" s="4" t="str">
        <f>TEXT(G675,"mmm")</f>
        <v>May</v>
      </c>
      <c r="G675" s="3">
        <v>45049</v>
      </c>
      <c r="H675" s="4" t="s">
        <v>708</v>
      </c>
      <c r="I675" s="4" t="s">
        <v>24</v>
      </c>
      <c r="J675" s="4" t="str" cm="1">
        <f t="array" ref="J675">_xlfn.IFS(K675&lt;30,"Young Adult",K675&lt;=50,"Adult",K675&gt;50,"Senior")</f>
        <v>Adult</v>
      </c>
      <c r="K675" s="4">
        <v>38</v>
      </c>
      <c r="L675" s="4" t="s">
        <v>8</v>
      </c>
      <c r="M675" s="4">
        <v>3</v>
      </c>
      <c r="N675" s="19">
        <v>30</v>
      </c>
      <c r="O675" s="15">
        <f>M675 * N675</f>
        <v>90</v>
      </c>
      <c r="P675" s="15">
        <f>O675*$S$3</f>
        <v>1.3499999999999999</v>
      </c>
      <c r="Q675" s="15">
        <f>O675*$S$4</f>
        <v>1.8</v>
      </c>
    </row>
    <row r="676" spans="1:17">
      <c r="A676" s="2">
        <v>293</v>
      </c>
      <c r="B676" s="4">
        <f>DAY(G676)</f>
        <v>2</v>
      </c>
      <c r="C676" s="4">
        <f>MONTH(G676)</f>
        <v>5</v>
      </c>
      <c r="D676" s="4">
        <f>YEAR(G676)</f>
        <v>2023</v>
      </c>
      <c r="E676" s="4" t="str">
        <f>TEXT(G676,"dddd")</f>
        <v>Tuesday</v>
      </c>
      <c r="F676" s="4" t="str">
        <f>TEXT(G676,"mmm")</f>
        <v>May</v>
      </c>
      <c r="G676" s="3">
        <v>45048</v>
      </c>
      <c r="H676" s="4" t="s">
        <v>709</v>
      </c>
      <c r="I676" s="4" t="s">
        <v>24</v>
      </c>
      <c r="J676" s="4" t="str" cm="1">
        <f t="array" ref="J676">_xlfn.IFS(K676&lt;30,"Young Adult",K676&lt;=50,"Adult",K676&gt;50,"Senior")</f>
        <v>Adult</v>
      </c>
      <c r="K676" s="4">
        <v>50</v>
      </c>
      <c r="L676" s="4" t="s">
        <v>9</v>
      </c>
      <c r="M676" s="4">
        <v>3</v>
      </c>
      <c r="N676" s="19">
        <v>30</v>
      </c>
      <c r="O676" s="15">
        <f>M676 * N676</f>
        <v>90</v>
      </c>
      <c r="P676" s="15">
        <f>O676*$S$3</f>
        <v>1.3499999999999999</v>
      </c>
      <c r="Q676" s="15">
        <f>O676*$S$4</f>
        <v>1.8</v>
      </c>
    </row>
    <row r="677" spans="1:17">
      <c r="A677" s="2">
        <v>460</v>
      </c>
      <c r="B677" s="4">
        <f>DAY(G677)</f>
        <v>2</v>
      </c>
      <c r="C677" s="4">
        <f>MONTH(G677)</f>
        <v>5</v>
      </c>
      <c r="D677" s="4">
        <f>YEAR(G677)</f>
        <v>2023</v>
      </c>
      <c r="E677" s="4" t="str">
        <f>TEXT(G677,"dddd")</f>
        <v>Tuesday</v>
      </c>
      <c r="F677" s="4" t="str">
        <f>TEXT(G677,"mmm")</f>
        <v>May</v>
      </c>
      <c r="G677" s="3">
        <v>45048</v>
      </c>
      <c r="H677" s="4" t="s">
        <v>710</v>
      </c>
      <c r="I677" s="4" t="s">
        <v>24</v>
      </c>
      <c r="J677" s="4" t="str" cm="1">
        <f t="array" ref="J677">_xlfn.IFS(K677&lt;30,"Young Adult",K677&lt;=50,"Adult",K677&gt;50,"Senior")</f>
        <v>Adult</v>
      </c>
      <c r="K677" s="4">
        <v>40</v>
      </c>
      <c r="L677" s="4" t="s">
        <v>7</v>
      </c>
      <c r="M677" s="4">
        <v>1</v>
      </c>
      <c r="N677" s="19">
        <v>50</v>
      </c>
      <c r="O677" s="15">
        <f>M677 * N677</f>
        <v>50</v>
      </c>
      <c r="P677" s="15">
        <f>O677*$S$3</f>
        <v>0.75</v>
      </c>
      <c r="Q677" s="15">
        <f>O677*$S$4</f>
        <v>1</v>
      </c>
    </row>
    <row r="678" spans="1:17">
      <c r="A678" s="2">
        <v>242</v>
      </c>
      <c r="B678" s="4">
        <f>DAY(G678)</f>
        <v>2</v>
      </c>
      <c r="C678" s="4">
        <f>MONTH(G678)</f>
        <v>5</v>
      </c>
      <c r="D678" s="4">
        <f>YEAR(G678)</f>
        <v>2023</v>
      </c>
      <c r="E678" s="4" t="str">
        <f>TEXT(G678,"dddd")</f>
        <v>Tuesday</v>
      </c>
      <c r="F678" s="4" t="str">
        <f>TEXT(G678,"mmm")</f>
        <v>May</v>
      </c>
      <c r="G678" s="3">
        <v>45048</v>
      </c>
      <c r="H678" s="4" t="s">
        <v>711</v>
      </c>
      <c r="I678" s="4" t="s">
        <v>24</v>
      </c>
      <c r="J678" s="4" t="str" cm="1">
        <f t="array" ref="J678">_xlfn.IFS(K678&lt;30,"Young Adult",K678&lt;=50,"Adult",K678&gt;50,"Senior")</f>
        <v>Young Adult</v>
      </c>
      <c r="K678" s="4">
        <v>21</v>
      </c>
      <c r="L678" s="4" t="s">
        <v>8</v>
      </c>
      <c r="M678" s="4">
        <v>1</v>
      </c>
      <c r="N678" s="19">
        <v>25</v>
      </c>
      <c r="O678" s="15">
        <f>M678 * N678</f>
        <v>25</v>
      </c>
      <c r="P678" s="15">
        <f>O678*$S$3</f>
        <v>0.375</v>
      </c>
      <c r="Q678" s="15">
        <f>O678*$S$4</f>
        <v>0.5</v>
      </c>
    </row>
    <row r="679" spans="1:17">
      <c r="A679" s="2">
        <v>337</v>
      </c>
      <c r="B679" s="4">
        <f>DAY(G679)</f>
        <v>1</v>
      </c>
      <c r="C679" s="4">
        <f>MONTH(G679)</f>
        <v>5</v>
      </c>
      <c r="D679" s="4">
        <f>YEAR(G679)</f>
        <v>2023</v>
      </c>
      <c r="E679" s="4" t="str">
        <f>TEXT(G679,"dddd")</f>
        <v>Monday</v>
      </c>
      <c r="F679" s="4" t="str">
        <f>TEXT(G679,"mmm")</f>
        <v>May</v>
      </c>
      <c r="G679" s="3">
        <v>45047</v>
      </c>
      <c r="H679" s="4" t="s">
        <v>712</v>
      </c>
      <c r="I679" s="4" t="s">
        <v>24</v>
      </c>
      <c r="J679" s="4" t="str" cm="1">
        <f t="array" ref="J679">_xlfn.IFS(K679&lt;30,"Young Adult",K679&lt;=50,"Adult",K679&gt;50,"Senior")</f>
        <v>Adult</v>
      </c>
      <c r="K679" s="4">
        <v>38</v>
      </c>
      <c r="L679" s="4" t="s">
        <v>8</v>
      </c>
      <c r="M679" s="4">
        <v>1</v>
      </c>
      <c r="N679" s="19">
        <v>500</v>
      </c>
      <c r="O679" s="15">
        <f>M679 * N679</f>
        <v>500</v>
      </c>
      <c r="P679" s="15">
        <f>O679*$S$3</f>
        <v>7.5</v>
      </c>
      <c r="Q679" s="15">
        <f>O679*$S$4</f>
        <v>10</v>
      </c>
    </row>
    <row r="680" spans="1:17">
      <c r="A680" s="2">
        <v>652</v>
      </c>
      <c r="B680" s="4">
        <f>DAY(G680)</f>
        <v>1</v>
      </c>
      <c r="C680" s="4">
        <f>MONTH(G680)</f>
        <v>5</v>
      </c>
      <c r="D680" s="4">
        <f>YEAR(G680)</f>
        <v>2023</v>
      </c>
      <c r="E680" s="4" t="str">
        <f>TEXT(G680,"dddd")</f>
        <v>Monday</v>
      </c>
      <c r="F680" s="4" t="str">
        <f>TEXT(G680,"mmm")</f>
        <v>May</v>
      </c>
      <c r="G680" s="3">
        <v>45047</v>
      </c>
      <c r="H680" s="4" t="s">
        <v>713</v>
      </c>
      <c r="I680" s="4" t="s">
        <v>29</v>
      </c>
      <c r="J680" s="4" t="str" cm="1">
        <f t="array" ref="J680">_xlfn.IFS(K680&lt;30,"Young Adult",K680&lt;=50,"Adult",K680&gt;50,"Senior")</f>
        <v>Adult</v>
      </c>
      <c r="K680" s="4">
        <v>34</v>
      </c>
      <c r="L680" s="4" t="s">
        <v>7</v>
      </c>
      <c r="M680" s="4">
        <v>2</v>
      </c>
      <c r="N680" s="19">
        <v>50</v>
      </c>
      <c r="O680" s="15">
        <f>M680 * N680</f>
        <v>100</v>
      </c>
      <c r="P680" s="15">
        <f>O680*$S$3</f>
        <v>1.5</v>
      </c>
      <c r="Q680" s="15">
        <f>O680*$S$4</f>
        <v>2</v>
      </c>
    </row>
    <row r="681" spans="1:17">
      <c r="A681" s="2">
        <v>585</v>
      </c>
      <c r="B681" s="4">
        <f>DAY(G681)</f>
        <v>1</v>
      </c>
      <c r="C681" s="4">
        <f>MONTH(G681)</f>
        <v>5</v>
      </c>
      <c r="D681" s="4">
        <f>YEAR(G681)</f>
        <v>2023</v>
      </c>
      <c r="E681" s="4" t="str">
        <f>TEXT(G681,"dddd")</f>
        <v>Monday</v>
      </c>
      <c r="F681" s="4" t="str">
        <f>TEXT(G681,"mmm")</f>
        <v>May</v>
      </c>
      <c r="G681" s="3">
        <v>45047</v>
      </c>
      <c r="H681" s="4" t="s">
        <v>714</v>
      </c>
      <c r="I681" s="4" t="s">
        <v>29</v>
      </c>
      <c r="J681" s="4" t="str" cm="1">
        <f t="array" ref="J681">_xlfn.IFS(K681&lt;30,"Young Adult",K681&lt;=50,"Adult",K681&gt;50,"Senior")</f>
        <v>Young Adult</v>
      </c>
      <c r="K681" s="4">
        <v>24</v>
      </c>
      <c r="L681" s="4" t="s">
        <v>8</v>
      </c>
      <c r="M681" s="4">
        <v>1</v>
      </c>
      <c r="N681" s="19">
        <v>25</v>
      </c>
      <c r="O681" s="15">
        <f>M681 * N681</f>
        <v>25</v>
      </c>
      <c r="P681" s="15">
        <f>O681*$S$3</f>
        <v>0.375</v>
      </c>
      <c r="Q681" s="15">
        <f>O681*$S$4</f>
        <v>0.5</v>
      </c>
    </row>
    <row r="682" spans="1:17">
      <c r="A682" s="2">
        <v>69</v>
      </c>
      <c r="B682" s="4">
        <f>DAY(G682)</f>
        <v>30</v>
      </c>
      <c r="C682" s="4">
        <f>MONTH(G682)</f>
        <v>4</v>
      </c>
      <c r="D682" s="4">
        <f>YEAR(G682)</f>
        <v>2023</v>
      </c>
      <c r="E682" s="4" t="str">
        <f>TEXT(G682,"dddd")</f>
        <v>Sunday</v>
      </c>
      <c r="F682" s="4" t="str">
        <f>TEXT(G682,"mmm")</f>
        <v>Apr</v>
      </c>
      <c r="G682" s="3">
        <v>45046</v>
      </c>
      <c r="H682" s="4" t="s">
        <v>715</v>
      </c>
      <c r="I682" s="4" t="s">
        <v>29</v>
      </c>
      <c r="J682" s="4" t="str" cm="1">
        <f t="array" ref="J682">_xlfn.IFS(K682&lt;30,"Young Adult",K682&lt;=50,"Adult",K682&gt;50,"Senior")</f>
        <v>Senior</v>
      </c>
      <c r="K682" s="4">
        <v>56</v>
      </c>
      <c r="L682" s="4" t="s">
        <v>7</v>
      </c>
      <c r="M682" s="4">
        <v>3</v>
      </c>
      <c r="N682" s="19">
        <v>25</v>
      </c>
      <c r="O682" s="15">
        <f>M682 * N682</f>
        <v>75</v>
      </c>
      <c r="P682" s="15">
        <f>O682*$S$3</f>
        <v>1.125</v>
      </c>
      <c r="Q682" s="15">
        <f>O682*$S$4</f>
        <v>1.5</v>
      </c>
    </row>
    <row r="683" spans="1:17">
      <c r="A683" s="2">
        <v>18</v>
      </c>
      <c r="B683" s="4">
        <f>DAY(G683)</f>
        <v>30</v>
      </c>
      <c r="C683" s="4">
        <f>MONTH(G683)</f>
        <v>4</v>
      </c>
      <c r="D683" s="4">
        <f>YEAR(G683)</f>
        <v>2023</v>
      </c>
      <c r="E683" s="4" t="str">
        <f>TEXT(G683,"dddd")</f>
        <v>Sunday</v>
      </c>
      <c r="F683" s="4" t="str">
        <f>TEXT(G683,"mmm")</f>
        <v>Apr</v>
      </c>
      <c r="G683" s="3">
        <v>45046</v>
      </c>
      <c r="H683" s="4" t="s">
        <v>716</v>
      </c>
      <c r="I683" s="4" t="s">
        <v>29</v>
      </c>
      <c r="J683" s="4" t="str" cm="1">
        <f t="array" ref="J683">_xlfn.IFS(K683&lt;30,"Young Adult",K683&lt;=50,"Adult",K683&gt;50,"Senior")</f>
        <v>Adult</v>
      </c>
      <c r="K683" s="4">
        <v>47</v>
      </c>
      <c r="L683" s="4" t="s">
        <v>9</v>
      </c>
      <c r="M683" s="4">
        <v>2</v>
      </c>
      <c r="N683" s="19">
        <v>25</v>
      </c>
      <c r="O683" s="15">
        <f>M683 * N683</f>
        <v>50</v>
      </c>
      <c r="P683" s="15">
        <f>O683*$S$3</f>
        <v>0.75</v>
      </c>
      <c r="Q683" s="15">
        <f>O683*$S$4</f>
        <v>1</v>
      </c>
    </row>
    <row r="684" spans="1:17">
      <c r="A684" s="2">
        <v>995</v>
      </c>
      <c r="B684" s="4">
        <f>DAY(G684)</f>
        <v>30</v>
      </c>
      <c r="C684" s="4">
        <f>MONTH(G684)</f>
        <v>4</v>
      </c>
      <c r="D684" s="4">
        <f>YEAR(G684)</f>
        <v>2023</v>
      </c>
      <c r="E684" s="4" t="str">
        <f>TEXT(G684,"dddd")</f>
        <v>Sunday</v>
      </c>
      <c r="F684" s="4" t="str">
        <f>TEXT(G684,"mmm")</f>
        <v>Apr</v>
      </c>
      <c r="G684" s="3">
        <v>45046</v>
      </c>
      <c r="H684" s="4" t="s">
        <v>717</v>
      </c>
      <c r="I684" s="4" t="s">
        <v>29</v>
      </c>
      <c r="J684" s="4" t="str" cm="1">
        <f t="array" ref="J684">_xlfn.IFS(K684&lt;30,"Young Adult",K684&lt;=50,"Adult",K684&gt;50,"Senior")</f>
        <v>Adult</v>
      </c>
      <c r="K684" s="4">
        <v>41</v>
      </c>
      <c r="L684" s="4" t="s">
        <v>8</v>
      </c>
      <c r="M684" s="4">
        <v>1</v>
      </c>
      <c r="N684" s="19">
        <v>30</v>
      </c>
      <c r="O684" s="15">
        <f>M684 * N684</f>
        <v>30</v>
      </c>
      <c r="P684" s="15">
        <f>O684*$S$3</f>
        <v>0.44999999999999996</v>
      </c>
      <c r="Q684" s="15">
        <f>O684*$S$4</f>
        <v>0.6</v>
      </c>
    </row>
    <row r="685" spans="1:17">
      <c r="A685" s="2">
        <v>660</v>
      </c>
      <c r="B685" s="4">
        <f>DAY(G685)</f>
        <v>29</v>
      </c>
      <c r="C685" s="4">
        <f>MONTH(G685)</f>
        <v>4</v>
      </c>
      <c r="D685" s="4">
        <f>YEAR(G685)</f>
        <v>2023</v>
      </c>
      <c r="E685" s="4" t="str">
        <f>TEXT(G685,"dddd")</f>
        <v>Saturday</v>
      </c>
      <c r="F685" s="4" t="str">
        <f>TEXT(G685,"mmm")</f>
        <v>Apr</v>
      </c>
      <c r="G685" s="3">
        <v>45045</v>
      </c>
      <c r="H685" s="4" t="s">
        <v>718</v>
      </c>
      <c r="I685" s="4" t="s">
        <v>29</v>
      </c>
      <c r="J685" s="4" t="str" cm="1">
        <f t="array" ref="J685">_xlfn.IFS(K685&lt;30,"Young Adult",K685&lt;=50,"Adult",K685&gt;50,"Senior")</f>
        <v>Adult</v>
      </c>
      <c r="K685" s="4">
        <v>38</v>
      </c>
      <c r="L685" s="4" t="s">
        <v>7</v>
      </c>
      <c r="M685" s="4">
        <v>2</v>
      </c>
      <c r="N685" s="19">
        <v>500</v>
      </c>
      <c r="O685" s="15">
        <f>M685 * N685</f>
        <v>1000</v>
      </c>
      <c r="P685" s="15">
        <f>O685*$S$3</f>
        <v>15</v>
      </c>
      <c r="Q685" s="15">
        <f>O685*$S$4</f>
        <v>20</v>
      </c>
    </row>
    <row r="686" spans="1:17">
      <c r="A686" s="2">
        <v>987</v>
      </c>
      <c r="B686" s="4">
        <f>DAY(G686)</f>
        <v>29</v>
      </c>
      <c r="C686" s="4">
        <f>MONTH(G686)</f>
        <v>4</v>
      </c>
      <c r="D686" s="4">
        <f>YEAR(G686)</f>
        <v>2023</v>
      </c>
      <c r="E686" s="4" t="str">
        <f>TEXT(G686,"dddd")</f>
        <v>Saturday</v>
      </c>
      <c r="F686" s="4" t="str">
        <f>TEXT(G686,"mmm")</f>
        <v>Apr</v>
      </c>
      <c r="G686" s="3">
        <v>45045</v>
      </c>
      <c r="H686" s="4" t="s">
        <v>719</v>
      </c>
      <c r="I686" s="4" t="s">
        <v>29</v>
      </c>
      <c r="J686" s="4" t="str" cm="1">
        <f t="array" ref="J686">_xlfn.IFS(K686&lt;30,"Young Adult",K686&lt;=50,"Adult",K686&gt;50,"Senior")</f>
        <v>Adult</v>
      </c>
      <c r="K686" s="4">
        <v>30</v>
      </c>
      <c r="L686" s="4" t="s">
        <v>8</v>
      </c>
      <c r="M686" s="4">
        <v>3</v>
      </c>
      <c r="N686" s="19">
        <v>300</v>
      </c>
      <c r="O686" s="15">
        <f>M686 * N686</f>
        <v>900</v>
      </c>
      <c r="P686" s="15">
        <f>O686*$S$3</f>
        <v>13.5</v>
      </c>
      <c r="Q686" s="15">
        <f>O686*$S$4</f>
        <v>18</v>
      </c>
    </row>
    <row r="687" spans="1:17">
      <c r="A687" s="2">
        <v>884</v>
      </c>
      <c r="B687" s="4">
        <f>DAY(G687)</f>
        <v>29</v>
      </c>
      <c r="C687" s="4">
        <f>MONTH(G687)</f>
        <v>4</v>
      </c>
      <c r="D687" s="4">
        <f>YEAR(G687)</f>
        <v>2023</v>
      </c>
      <c r="E687" s="4" t="str">
        <f>TEXT(G687,"dddd")</f>
        <v>Saturday</v>
      </c>
      <c r="F687" s="4" t="str">
        <f>TEXT(G687,"mmm")</f>
        <v>Apr</v>
      </c>
      <c r="G687" s="3">
        <v>45045</v>
      </c>
      <c r="H687" s="4" t="s">
        <v>720</v>
      </c>
      <c r="I687" s="4" t="s">
        <v>29</v>
      </c>
      <c r="J687" s="4" t="str" cm="1">
        <f t="array" ref="J687">_xlfn.IFS(K687&lt;30,"Young Adult",K687&lt;=50,"Adult",K687&gt;50,"Senior")</f>
        <v>Young Adult</v>
      </c>
      <c r="K687" s="4">
        <v>26</v>
      </c>
      <c r="L687" s="4" t="s">
        <v>8</v>
      </c>
      <c r="M687" s="4">
        <v>2</v>
      </c>
      <c r="N687" s="19">
        <v>30</v>
      </c>
      <c r="O687" s="15">
        <f>M687 * N687</f>
        <v>60</v>
      </c>
      <c r="P687" s="15">
        <f>O687*$S$3</f>
        <v>0.89999999999999991</v>
      </c>
      <c r="Q687" s="15">
        <f>O687*$S$4</f>
        <v>1.2</v>
      </c>
    </row>
    <row r="688" spans="1:17">
      <c r="A688" s="2">
        <v>228</v>
      </c>
      <c r="B688" s="4">
        <f>DAY(G688)</f>
        <v>28</v>
      </c>
      <c r="C688" s="4">
        <f>MONTH(G688)</f>
        <v>4</v>
      </c>
      <c r="D688" s="4">
        <f>YEAR(G688)</f>
        <v>2023</v>
      </c>
      <c r="E688" s="4" t="str">
        <f>TEXT(G688,"dddd")</f>
        <v>Friday</v>
      </c>
      <c r="F688" s="4" t="str">
        <f>TEXT(G688,"mmm")</f>
        <v>Apr</v>
      </c>
      <c r="G688" s="3">
        <v>45044</v>
      </c>
      <c r="H688" s="4" t="s">
        <v>721</v>
      </c>
      <c r="I688" s="4" t="s">
        <v>29</v>
      </c>
      <c r="J688" s="4" t="str" cm="1">
        <f t="array" ref="J688">_xlfn.IFS(K688&lt;30,"Young Adult",K688&lt;=50,"Adult",K688&gt;50,"Senior")</f>
        <v>Senior</v>
      </c>
      <c r="K688" s="4">
        <v>59</v>
      </c>
      <c r="L688" s="4" t="s">
        <v>9</v>
      </c>
      <c r="M688" s="4">
        <v>2</v>
      </c>
      <c r="N688" s="19">
        <v>30</v>
      </c>
      <c r="O688" s="15">
        <f>M688 * N688</f>
        <v>60</v>
      </c>
      <c r="P688" s="15">
        <f>O688*$S$3</f>
        <v>0.89999999999999991</v>
      </c>
      <c r="Q688" s="15">
        <f>O688*$S$4</f>
        <v>1.2</v>
      </c>
    </row>
    <row r="689" spans="1:17">
      <c r="A689" s="2">
        <v>236</v>
      </c>
      <c r="B689" s="4">
        <f>DAY(G689)</f>
        <v>28</v>
      </c>
      <c r="C689" s="4">
        <f>MONTH(G689)</f>
        <v>4</v>
      </c>
      <c r="D689" s="4">
        <f>YEAR(G689)</f>
        <v>2023</v>
      </c>
      <c r="E689" s="4" t="str">
        <f>TEXT(G689,"dddd")</f>
        <v>Friday</v>
      </c>
      <c r="F689" s="4" t="str">
        <f>TEXT(G689,"mmm")</f>
        <v>Apr</v>
      </c>
      <c r="G689" s="3">
        <v>45044</v>
      </c>
      <c r="H689" s="4" t="s">
        <v>722</v>
      </c>
      <c r="I689" s="4" t="s">
        <v>29</v>
      </c>
      <c r="J689" s="4" t="str" cm="1">
        <f t="array" ref="J689">_xlfn.IFS(K689&lt;30,"Young Adult",K689&lt;=50,"Adult",K689&gt;50,"Senior")</f>
        <v>Senior</v>
      </c>
      <c r="K689" s="4">
        <v>54</v>
      </c>
      <c r="L689" s="4" t="s">
        <v>8</v>
      </c>
      <c r="M689" s="4">
        <v>1</v>
      </c>
      <c r="N689" s="19">
        <v>25</v>
      </c>
      <c r="O689" s="15">
        <f>M689 * N689</f>
        <v>25</v>
      </c>
      <c r="P689" s="15">
        <f>O689*$S$3</f>
        <v>0.375</v>
      </c>
      <c r="Q689" s="15">
        <f>O689*$S$4</f>
        <v>0.5</v>
      </c>
    </row>
    <row r="690" spans="1:17">
      <c r="A690" s="2">
        <v>102</v>
      </c>
      <c r="B690" s="4">
        <f>DAY(G690)</f>
        <v>28</v>
      </c>
      <c r="C690" s="4">
        <f>MONTH(G690)</f>
        <v>4</v>
      </c>
      <c r="D690" s="4">
        <f>YEAR(G690)</f>
        <v>2023</v>
      </c>
      <c r="E690" s="4" t="str">
        <f>TEXT(G690,"dddd")</f>
        <v>Friday</v>
      </c>
      <c r="F690" s="4" t="str">
        <f>TEXT(G690,"mmm")</f>
        <v>Apr</v>
      </c>
      <c r="G690" s="3">
        <v>45044</v>
      </c>
      <c r="H690" s="4" t="s">
        <v>723</v>
      </c>
      <c r="I690" s="4" t="s">
        <v>29</v>
      </c>
      <c r="J690" s="4" t="str" cm="1">
        <f t="array" ref="J690">_xlfn.IFS(K690&lt;30,"Young Adult",K690&lt;=50,"Adult",K690&gt;50,"Senior")</f>
        <v>Adult</v>
      </c>
      <c r="K690" s="4">
        <v>47</v>
      </c>
      <c r="L690" s="4" t="s">
        <v>7</v>
      </c>
      <c r="M690" s="4">
        <v>2</v>
      </c>
      <c r="N690" s="19">
        <v>25</v>
      </c>
      <c r="O690" s="15">
        <f>M690 * N690</f>
        <v>50</v>
      </c>
      <c r="P690" s="15">
        <f>O690*$S$3</f>
        <v>0.75</v>
      </c>
      <c r="Q690" s="15">
        <f>O690*$S$4</f>
        <v>1</v>
      </c>
    </row>
    <row r="691" spans="1:17">
      <c r="A691" s="2">
        <v>903</v>
      </c>
      <c r="B691" s="4">
        <f>DAY(G691)</f>
        <v>27</v>
      </c>
      <c r="C691" s="4">
        <f>MONTH(G691)</f>
        <v>4</v>
      </c>
      <c r="D691" s="4">
        <f>YEAR(G691)</f>
        <v>2023</v>
      </c>
      <c r="E691" s="4" t="str">
        <f>TEXT(G691,"dddd")</f>
        <v>Thursday</v>
      </c>
      <c r="F691" s="4" t="str">
        <f>TEXT(G691,"mmm")</f>
        <v>Apr</v>
      </c>
      <c r="G691" s="3">
        <v>45043</v>
      </c>
      <c r="H691" s="4" t="s">
        <v>724</v>
      </c>
      <c r="I691" s="4" t="s">
        <v>29</v>
      </c>
      <c r="J691" s="4" t="str" cm="1">
        <f t="array" ref="J691">_xlfn.IFS(K691&lt;30,"Young Adult",K691&lt;=50,"Adult",K691&gt;50,"Senior")</f>
        <v>Senior</v>
      </c>
      <c r="K691" s="4">
        <v>51</v>
      </c>
      <c r="L691" s="4" t="s">
        <v>7</v>
      </c>
      <c r="M691" s="4">
        <v>4</v>
      </c>
      <c r="N691" s="19">
        <v>50</v>
      </c>
      <c r="O691" s="15">
        <f>M691 * N691</f>
        <v>200</v>
      </c>
      <c r="P691" s="15">
        <f>O691*$S$3</f>
        <v>3</v>
      </c>
      <c r="Q691" s="15">
        <f>O691*$S$4</f>
        <v>4</v>
      </c>
    </row>
    <row r="692" spans="1:17">
      <c r="A692" s="2">
        <v>66</v>
      </c>
      <c r="B692" s="4">
        <f>DAY(G692)</f>
        <v>27</v>
      </c>
      <c r="C692" s="4">
        <f>MONTH(G692)</f>
        <v>4</v>
      </c>
      <c r="D692" s="4">
        <f>YEAR(G692)</f>
        <v>2023</v>
      </c>
      <c r="E692" s="4" t="str">
        <f>TEXT(G692,"dddd")</f>
        <v>Thursday</v>
      </c>
      <c r="F692" s="4" t="str">
        <f>TEXT(G692,"mmm")</f>
        <v>Apr</v>
      </c>
      <c r="G692" s="3">
        <v>45043</v>
      </c>
      <c r="H692" s="4" t="s">
        <v>725</v>
      </c>
      <c r="I692" s="4" t="s">
        <v>29</v>
      </c>
      <c r="J692" s="4" t="str" cm="1">
        <f t="array" ref="J692">_xlfn.IFS(K692&lt;30,"Young Adult",K692&lt;=50,"Adult",K692&gt;50,"Senior")</f>
        <v>Adult</v>
      </c>
      <c r="K692" s="4">
        <v>45</v>
      </c>
      <c r="L692" s="4" t="s">
        <v>9</v>
      </c>
      <c r="M692" s="4">
        <v>1</v>
      </c>
      <c r="N692" s="19">
        <v>30</v>
      </c>
      <c r="O692" s="15">
        <f>M692 * N692</f>
        <v>30</v>
      </c>
      <c r="P692" s="15">
        <f>O692*$S$3</f>
        <v>0.44999999999999996</v>
      </c>
      <c r="Q692" s="15">
        <f>O692*$S$4</f>
        <v>0.6</v>
      </c>
    </row>
    <row r="693" spans="1:17">
      <c r="A693" s="2">
        <v>482</v>
      </c>
      <c r="B693" s="4">
        <f>DAY(G693)</f>
        <v>27</v>
      </c>
      <c r="C693" s="4">
        <f>MONTH(G693)</f>
        <v>4</v>
      </c>
      <c r="D693" s="4">
        <f>YEAR(G693)</f>
        <v>2023</v>
      </c>
      <c r="E693" s="4" t="str">
        <f>TEXT(G693,"dddd")</f>
        <v>Thursday</v>
      </c>
      <c r="F693" s="4" t="str">
        <f>TEXT(G693,"mmm")</f>
        <v>Apr</v>
      </c>
      <c r="G693" s="3">
        <v>45043</v>
      </c>
      <c r="H693" s="4" t="s">
        <v>726</v>
      </c>
      <c r="I693" s="4" t="s">
        <v>29</v>
      </c>
      <c r="J693" s="4" t="str" cm="1">
        <f t="array" ref="J693">_xlfn.IFS(K693&lt;30,"Young Adult",K693&lt;=50,"Adult",K693&gt;50,"Senior")</f>
        <v>Young Adult</v>
      </c>
      <c r="K693" s="4">
        <v>28</v>
      </c>
      <c r="L693" s="4" t="s">
        <v>8</v>
      </c>
      <c r="M693" s="4">
        <v>4</v>
      </c>
      <c r="N693" s="19">
        <v>300</v>
      </c>
      <c r="O693" s="15">
        <f>M693 * N693</f>
        <v>1200</v>
      </c>
      <c r="P693" s="15">
        <f>O693*$S$3</f>
        <v>18</v>
      </c>
      <c r="Q693" s="15">
        <f>O693*$S$4</f>
        <v>24</v>
      </c>
    </row>
    <row r="694" spans="1:17">
      <c r="A694" s="2">
        <v>222</v>
      </c>
      <c r="B694" s="4">
        <f>DAY(G694)</f>
        <v>26</v>
      </c>
      <c r="C694" s="4">
        <f>MONTH(G694)</f>
        <v>4</v>
      </c>
      <c r="D694" s="4">
        <f>YEAR(G694)</f>
        <v>2023</v>
      </c>
      <c r="E694" s="4" t="str">
        <f>TEXT(G694,"dddd")</f>
        <v>Wednesday</v>
      </c>
      <c r="F694" s="4" t="str">
        <f>TEXT(G694,"mmm")</f>
        <v>Apr</v>
      </c>
      <c r="G694" s="3">
        <v>45042</v>
      </c>
      <c r="H694" s="4" t="s">
        <v>727</v>
      </c>
      <c r="I694" s="4" t="s">
        <v>24</v>
      </c>
      <c r="J694" s="4" t="str" cm="1">
        <f t="array" ref="J694">_xlfn.IFS(K694&lt;30,"Young Adult",K694&lt;=50,"Adult",K694&gt;50,"Senior")</f>
        <v>Senior</v>
      </c>
      <c r="K694" s="4">
        <v>51</v>
      </c>
      <c r="L694" s="4" t="s">
        <v>8</v>
      </c>
      <c r="M694" s="4">
        <v>4</v>
      </c>
      <c r="N694" s="19">
        <v>30</v>
      </c>
      <c r="O694" s="15">
        <f>M694 * N694</f>
        <v>120</v>
      </c>
      <c r="P694" s="15">
        <f>O694*$S$3</f>
        <v>1.7999999999999998</v>
      </c>
      <c r="Q694" s="15">
        <f>O694*$S$4</f>
        <v>2.4</v>
      </c>
    </row>
    <row r="695" spans="1:17">
      <c r="A695" s="2">
        <v>953</v>
      </c>
      <c r="B695" s="4">
        <f>DAY(G695)</f>
        <v>26</v>
      </c>
      <c r="C695" s="4">
        <f>MONTH(G695)</f>
        <v>4</v>
      </c>
      <c r="D695" s="4">
        <f>YEAR(G695)</f>
        <v>2023</v>
      </c>
      <c r="E695" s="4" t="str">
        <f>TEXT(G695,"dddd")</f>
        <v>Wednesday</v>
      </c>
      <c r="F695" s="4" t="str">
        <f>TEXT(G695,"mmm")</f>
        <v>Apr</v>
      </c>
      <c r="G695" s="3">
        <v>45042</v>
      </c>
      <c r="H695" s="4" t="s">
        <v>728</v>
      </c>
      <c r="I695" s="4" t="s">
        <v>24</v>
      </c>
      <c r="J695" s="4" t="str" cm="1">
        <f t="array" ref="J695">_xlfn.IFS(K695&lt;30,"Young Adult",K695&lt;=50,"Adult",K695&gt;50,"Senior")</f>
        <v>Adult</v>
      </c>
      <c r="K695" s="4">
        <v>45</v>
      </c>
      <c r="L695" s="4" t="s">
        <v>7</v>
      </c>
      <c r="M695" s="4">
        <v>3</v>
      </c>
      <c r="N695" s="19">
        <v>30</v>
      </c>
      <c r="O695" s="15">
        <f>M695 * N695</f>
        <v>90</v>
      </c>
      <c r="P695" s="15">
        <f>O695*$S$3</f>
        <v>1.3499999999999999</v>
      </c>
      <c r="Q695" s="15">
        <f>O695*$S$4</f>
        <v>1.8</v>
      </c>
    </row>
    <row r="696" spans="1:17">
      <c r="A696" s="2">
        <v>588</v>
      </c>
      <c r="B696" s="4">
        <f>DAY(G696)</f>
        <v>26</v>
      </c>
      <c r="C696" s="4">
        <f>MONTH(G696)</f>
        <v>4</v>
      </c>
      <c r="D696" s="4">
        <f>YEAR(G696)</f>
        <v>2023</v>
      </c>
      <c r="E696" s="4" t="str">
        <f>TEXT(G696,"dddd")</f>
        <v>Wednesday</v>
      </c>
      <c r="F696" s="4" t="str">
        <f>TEXT(G696,"mmm")</f>
        <v>Apr</v>
      </c>
      <c r="G696" s="3">
        <v>45042</v>
      </c>
      <c r="H696" s="4" t="s">
        <v>729</v>
      </c>
      <c r="I696" s="4" t="s">
        <v>24</v>
      </c>
      <c r="J696" s="4" t="str" cm="1">
        <f t="array" ref="J696">_xlfn.IFS(K696&lt;30,"Young Adult",K696&lt;=50,"Adult",K696&gt;50,"Senior")</f>
        <v>Adult</v>
      </c>
      <c r="K696" s="4">
        <v>38</v>
      </c>
      <c r="L696" s="4" t="s">
        <v>9</v>
      </c>
      <c r="M696" s="4">
        <v>2</v>
      </c>
      <c r="N696" s="19">
        <v>30</v>
      </c>
      <c r="O696" s="15">
        <f>M696 * N696</f>
        <v>60</v>
      </c>
      <c r="P696" s="15">
        <f>O696*$S$3</f>
        <v>0.89999999999999991</v>
      </c>
      <c r="Q696" s="15">
        <f>O696*$S$4</f>
        <v>1.2</v>
      </c>
    </row>
    <row r="697" spans="1:17">
      <c r="A697" s="2">
        <v>483</v>
      </c>
      <c r="B697" s="4">
        <f>DAY(G697)</f>
        <v>25</v>
      </c>
      <c r="C697" s="4">
        <f>MONTH(G697)</f>
        <v>4</v>
      </c>
      <c r="D697" s="4">
        <f>YEAR(G697)</f>
        <v>2023</v>
      </c>
      <c r="E697" s="4" t="str">
        <f>TEXT(G697,"dddd")</f>
        <v>Tuesday</v>
      </c>
      <c r="F697" s="4" t="str">
        <f>TEXT(G697,"mmm")</f>
        <v>Apr</v>
      </c>
      <c r="G697" s="3">
        <v>45041</v>
      </c>
      <c r="H697" s="4" t="s">
        <v>730</v>
      </c>
      <c r="I697" s="4" t="s">
        <v>24</v>
      </c>
      <c r="J697" s="4" t="str" cm="1">
        <f t="array" ref="J697">_xlfn.IFS(K697&lt;30,"Young Adult",K697&lt;=50,"Adult",K697&gt;50,"Senior")</f>
        <v>Senior</v>
      </c>
      <c r="K697" s="4">
        <v>55</v>
      </c>
      <c r="L697" s="4" t="s">
        <v>8</v>
      </c>
      <c r="M697" s="4">
        <v>1</v>
      </c>
      <c r="N697" s="19">
        <v>30</v>
      </c>
      <c r="O697" s="15">
        <f>M697 * N697</f>
        <v>30</v>
      </c>
      <c r="P697" s="15">
        <f>O697*$S$3</f>
        <v>0.44999999999999996</v>
      </c>
      <c r="Q697" s="15">
        <f>O697*$S$4</f>
        <v>0.6</v>
      </c>
    </row>
    <row r="698" spans="1:17">
      <c r="A698" s="2">
        <v>6</v>
      </c>
      <c r="B698" s="4">
        <f>DAY(G698)</f>
        <v>25</v>
      </c>
      <c r="C698" s="4">
        <f>MONTH(G698)</f>
        <v>4</v>
      </c>
      <c r="D698" s="4">
        <f>YEAR(G698)</f>
        <v>2023</v>
      </c>
      <c r="E698" s="4" t="str">
        <f>TEXT(G698,"dddd")</f>
        <v>Tuesday</v>
      </c>
      <c r="F698" s="4" t="str">
        <f>TEXT(G698,"mmm")</f>
        <v>Apr</v>
      </c>
      <c r="G698" s="3">
        <v>45041</v>
      </c>
      <c r="H698" s="4" t="s">
        <v>731</v>
      </c>
      <c r="I698" s="4" t="s">
        <v>29</v>
      </c>
      <c r="J698" s="4" t="str" cm="1">
        <f t="array" ref="J698">_xlfn.IFS(K698&lt;30,"Young Adult",K698&lt;=50,"Adult",K698&gt;50,"Senior")</f>
        <v>Adult</v>
      </c>
      <c r="K698" s="4">
        <v>45</v>
      </c>
      <c r="L698" s="4" t="s">
        <v>7</v>
      </c>
      <c r="M698" s="4">
        <v>1</v>
      </c>
      <c r="N698" s="19">
        <v>30</v>
      </c>
      <c r="O698" s="15">
        <f>M698 * N698</f>
        <v>30</v>
      </c>
      <c r="P698" s="15">
        <f>O698*$S$3</f>
        <v>0.44999999999999996</v>
      </c>
      <c r="Q698" s="15">
        <f>O698*$S$4</f>
        <v>0.6</v>
      </c>
    </row>
    <row r="699" spans="1:17">
      <c r="A699" s="2">
        <v>738</v>
      </c>
      <c r="B699" s="4">
        <f>DAY(G699)</f>
        <v>25</v>
      </c>
      <c r="C699" s="4">
        <f>MONTH(G699)</f>
        <v>4</v>
      </c>
      <c r="D699" s="4">
        <f>YEAR(G699)</f>
        <v>2023</v>
      </c>
      <c r="E699" s="4" t="str">
        <f>TEXT(G699,"dddd")</f>
        <v>Tuesday</v>
      </c>
      <c r="F699" s="4" t="str">
        <f>TEXT(G699,"mmm")</f>
        <v>Apr</v>
      </c>
      <c r="G699" s="3">
        <v>45041</v>
      </c>
      <c r="H699" s="4" t="s">
        <v>732</v>
      </c>
      <c r="I699" s="4" t="s">
        <v>24</v>
      </c>
      <c r="J699" s="4" t="str" cm="1">
        <f t="array" ref="J699">_xlfn.IFS(K699&lt;30,"Young Adult",K699&lt;=50,"Adult",K699&gt;50,"Senior")</f>
        <v>Adult</v>
      </c>
      <c r="K699" s="4">
        <v>41</v>
      </c>
      <c r="L699" s="4" t="s">
        <v>8</v>
      </c>
      <c r="M699" s="4">
        <v>2</v>
      </c>
      <c r="N699" s="19">
        <v>50</v>
      </c>
      <c r="O699" s="15">
        <f>M699 * N699</f>
        <v>100</v>
      </c>
      <c r="P699" s="15">
        <f>O699*$S$3</f>
        <v>1.5</v>
      </c>
      <c r="Q699" s="15">
        <f>O699*$S$4</f>
        <v>2</v>
      </c>
    </row>
    <row r="700" spans="1:17">
      <c r="A700" s="2">
        <v>477</v>
      </c>
      <c r="B700" s="4">
        <f>DAY(G700)</f>
        <v>24</v>
      </c>
      <c r="C700" s="4">
        <f>MONTH(G700)</f>
        <v>4</v>
      </c>
      <c r="D700" s="4">
        <f>YEAR(G700)</f>
        <v>2023</v>
      </c>
      <c r="E700" s="4" t="str">
        <f>TEXT(G700,"dddd")</f>
        <v>Monday</v>
      </c>
      <c r="F700" s="4" t="str">
        <f>TEXT(G700,"mmm")</f>
        <v>Apr</v>
      </c>
      <c r="G700" s="3">
        <v>45040</v>
      </c>
      <c r="H700" s="4" t="s">
        <v>733</v>
      </c>
      <c r="I700" s="4" t="s">
        <v>24</v>
      </c>
      <c r="J700" s="4" t="str" cm="1">
        <f t="array" ref="J700">_xlfn.IFS(K700&lt;30,"Young Adult",K700&lt;=50,"Adult",K700&gt;50,"Senior")</f>
        <v>Adult</v>
      </c>
      <c r="K700" s="4">
        <v>43</v>
      </c>
      <c r="L700" s="4" t="s">
        <v>8</v>
      </c>
      <c r="M700" s="4">
        <v>4</v>
      </c>
      <c r="N700" s="19">
        <v>30</v>
      </c>
      <c r="O700" s="15">
        <f>M700 * N700</f>
        <v>120</v>
      </c>
      <c r="P700" s="15">
        <f>O700*$S$3</f>
        <v>1.7999999999999998</v>
      </c>
      <c r="Q700" s="15">
        <f>O700*$S$4</f>
        <v>2.4</v>
      </c>
    </row>
    <row r="701" spans="1:17">
      <c r="A701" s="2">
        <v>863</v>
      </c>
      <c r="B701" s="4">
        <f>DAY(G701)</f>
        <v>24</v>
      </c>
      <c r="C701" s="4">
        <f>MONTH(G701)</f>
        <v>4</v>
      </c>
      <c r="D701" s="4">
        <f>YEAR(G701)</f>
        <v>2023</v>
      </c>
      <c r="E701" s="4" t="str">
        <f>TEXT(G701,"dddd")</f>
        <v>Monday</v>
      </c>
      <c r="F701" s="4" t="str">
        <f>TEXT(G701,"mmm")</f>
        <v>Apr</v>
      </c>
      <c r="G701" s="3">
        <v>45040</v>
      </c>
      <c r="H701" s="4" t="s">
        <v>734</v>
      </c>
      <c r="I701" s="4" t="s">
        <v>29</v>
      </c>
      <c r="J701" s="4" t="str" cm="1">
        <f t="array" ref="J701">_xlfn.IFS(K701&lt;30,"Young Adult",K701&lt;=50,"Adult",K701&gt;50,"Senior")</f>
        <v>Adult</v>
      </c>
      <c r="K701" s="4">
        <v>30</v>
      </c>
      <c r="L701" s="4" t="s">
        <v>9</v>
      </c>
      <c r="M701" s="4">
        <v>2</v>
      </c>
      <c r="N701" s="19">
        <v>25</v>
      </c>
      <c r="O701" s="15">
        <f>M701 * N701</f>
        <v>50</v>
      </c>
      <c r="P701" s="15">
        <f>O701*$S$3</f>
        <v>0.75</v>
      </c>
      <c r="Q701" s="15">
        <f>O701*$S$4</f>
        <v>1</v>
      </c>
    </row>
    <row r="702" spans="1:17">
      <c r="A702" s="2">
        <v>98</v>
      </c>
      <c r="B702" s="4">
        <f>DAY(G702)</f>
        <v>23</v>
      </c>
      <c r="C702" s="4">
        <f>MONTH(G702)</f>
        <v>4</v>
      </c>
      <c r="D702" s="4">
        <f>YEAR(G702)</f>
        <v>2023</v>
      </c>
      <c r="E702" s="4" t="str">
        <f>TEXT(G702,"dddd")</f>
        <v>Sunday</v>
      </c>
      <c r="F702" s="4" t="str">
        <f>TEXT(G702,"mmm")</f>
        <v>Apr</v>
      </c>
      <c r="G702" s="3">
        <v>45039</v>
      </c>
      <c r="H702" s="4" t="s">
        <v>735</v>
      </c>
      <c r="I702" s="4" t="s">
        <v>29</v>
      </c>
      <c r="J702" s="4" t="str" cm="1">
        <f t="array" ref="J702">_xlfn.IFS(K702&lt;30,"Young Adult",K702&lt;=50,"Adult",K702&gt;50,"Senior")</f>
        <v>Senior</v>
      </c>
      <c r="K702" s="4">
        <v>55</v>
      </c>
      <c r="L702" s="4" t="s">
        <v>7</v>
      </c>
      <c r="M702" s="4">
        <v>2</v>
      </c>
      <c r="N702" s="19">
        <v>50</v>
      </c>
      <c r="O702" s="15">
        <f>M702 * N702</f>
        <v>100</v>
      </c>
      <c r="P702" s="15">
        <f>O702*$S$3</f>
        <v>1.5</v>
      </c>
      <c r="Q702" s="15">
        <f>O702*$S$4</f>
        <v>2</v>
      </c>
    </row>
    <row r="703" spans="1:17">
      <c r="A703" s="2">
        <v>230</v>
      </c>
      <c r="B703" s="4">
        <f>DAY(G703)</f>
        <v>23</v>
      </c>
      <c r="C703" s="4">
        <f>MONTH(G703)</f>
        <v>4</v>
      </c>
      <c r="D703" s="4">
        <f>YEAR(G703)</f>
        <v>2023</v>
      </c>
      <c r="E703" s="4" t="str">
        <f>TEXT(G703,"dddd")</f>
        <v>Sunday</v>
      </c>
      <c r="F703" s="4" t="str">
        <f>TEXT(G703,"mmm")</f>
        <v>Apr</v>
      </c>
      <c r="G703" s="3">
        <v>45039</v>
      </c>
      <c r="H703" s="4" t="s">
        <v>736</v>
      </c>
      <c r="I703" s="4" t="s">
        <v>24</v>
      </c>
      <c r="J703" s="4" t="str" cm="1">
        <f t="array" ref="J703">_xlfn.IFS(K703&lt;30,"Young Adult",K703&lt;=50,"Adult",K703&gt;50,"Senior")</f>
        <v>Senior</v>
      </c>
      <c r="K703" s="4">
        <v>54</v>
      </c>
      <c r="L703" s="4" t="s">
        <v>7</v>
      </c>
      <c r="M703" s="4">
        <v>1</v>
      </c>
      <c r="N703" s="19">
        <v>25</v>
      </c>
      <c r="O703" s="15">
        <f>M703 * N703</f>
        <v>25</v>
      </c>
      <c r="P703" s="15">
        <f>O703*$S$3</f>
        <v>0.375</v>
      </c>
      <c r="Q703" s="15">
        <f>O703*$S$4</f>
        <v>0.5</v>
      </c>
    </row>
    <row r="704" spans="1:17">
      <c r="A704" s="2">
        <v>613</v>
      </c>
      <c r="B704" s="4">
        <f>DAY(G704)</f>
        <v>23</v>
      </c>
      <c r="C704" s="4">
        <f>MONTH(G704)</f>
        <v>4</v>
      </c>
      <c r="D704" s="4">
        <f>YEAR(G704)</f>
        <v>2023</v>
      </c>
      <c r="E704" s="4" t="str">
        <f>TEXT(G704,"dddd")</f>
        <v>Sunday</v>
      </c>
      <c r="F704" s="4" t="str">
        <f>TEXT(G704,"mmm")</f>
        <v>Apr</v>
      </c>
      <c r="G704" s="3">
        <v>45039</v>
      </c>
      <c r="H704" s="4" t="s">
        <v>737</v>
      </c>
      <c r="I704" s="4" t="s">
        <v>29</v>
      </c>
      <c r="J704" s="4" t="str" cm="1">
        <f t="array" ref="J704">_xlfn.IFS(K704&lt;30,"Young Adult",K704&lt;=50,"Adult",K704&gt;50,"Senior")</f>
        <v>Senior</v>
      </c>
      <c r="K704" s="4">
        <v>52</v>
      </c>
      <c r="L704" s="4" t="s">
        <v>8</v>
      </c>
      <c r="M704" s="4">
        <v>3</v>
      </c>
      <c r="N704" s="19">
        <v>30</v>
      </c>
      <c r="O704" s="15">
        <f>M704 * N704</f>
        <v>90</v>
      </c>
      <c r="P704" s="15">
        <f>O704*$S$3</f>
        <v>1.3499999999999999</v>
      </c>
      <c r="Q704" s="15">
        <f>O704*$S$4</f>
        <v>1.8</v>
      </c>
    </row>
    <row r="705" spans="1:17">
      <c r="A705" s="2">
        <v>691</v>
      </c>
      <c r="B705" s="4">
        <f>DAY(G705)</f>
        <v>23</v>
      </c>
      <c r="C705" s="4">
        <f>MONTH(G705)</f>
        <v>4</v>
      </c>
      <c r="D705" s="4">
        <f>YEAR(G705)</f>
        <v>2023</v>
      </c>
      <c r="E705" s="4" t="str">
        <f>TEXT(G705,"dddd")</f>
        <v>Sunday</v>
      </c>
      <c r="F705" s="4" t="str">
        <f>TEXT(G705,"mmm")</f>
        <v>Apr</v>
      </c>
      <c r="G705" s="3">
        <v>45039</v>
      </c>
      <c r="H705" s="4" t="s">
        <v>738</v>
      </c>
      <c r="I705" s="4" t="s">
        <v>29</v>
      </c>
      <c r="J705" s="4" t="str" cm="1">
        <f t="array" ref="J705">_xlfn.IFS(K705&lt;30,"Young Adult",K705&lt;=50,"Adult",K705&gt;50,"Senior")</f>
        <v>Senior</v>
      </c>
      <c r="K705" s="4">
        <v>51</v>
      </c>
      <c r="L705" s="4" t="s">
        <v>8</v>
      </c>
      <c r="M705" s="4">
        <v>3</v>
      </c>
      <c r="N705" s="19">
        <v>30</v>
      </c>
      <c r="O705" s="15">
        <f>M705 * N705</f>
        <v>90</v>
      </c>
      <c r="P705" s="15">
        <f>O705*$S$3</f>
        <v>1.3499999999999999</v>
      </c>
      <c r="Q705" s="15">
        <f>O705*$S$4</f>
        <v>1.8</v>
      </c>
    </row>
    <row r="706" spans="1:17">
      <c r="A706" s="2">
        <v>28</v>
      </c>
      <c r="B706" s="4">
        <f>DAY(G706)</f>
        <v>23</v>
      </c>
      <c r="C706" s="4">
        <f>MONTH(G706)</f>
        <v>4</v>
      </c>
      <c r="D706" s="4">
        <f>YEAR(G706)</f>
        <v>2023</v>
      </c>
      <c r="E706" s="4" t="str">
        <f>TEXT(G706,"dddd")</f>
        <v>Sunday</v>
      </c>
      <c r="F706" s="4" t="str">
        <f>TEXT(G706,"mmm")</f>
        <v>Apr</v>
      </c>
      <c r="G706" s="3">
        <v>45039</v>
      </c>
      <c r="H706" s="4" t="s">
        <v>739</v>
      </c>
      <c r="I706" s="4" t="s">
        <v>29</v>
      </c>
      <c r="J706" s="4" t="str" cm="1">
        <f t="array" ref="J706">_xlfn.IFS(K706&lt;30,"Young Adult",K706&lt;=50,"Adult",K706&gt;50,"Senior")</f>
        <v>Adult</v>
      </c>
      <c r="K706" s="4">
        <v>43</v>
      </c>
      <c r="L706" s="4" t="s">
        <v>7</v>
      </c>
      <c r="M706" s="4">
        <v>1</v>
      </c>
      <c r="N706" s="19">
        <v>500</v>
      </c>
      <c r="O706" s="15">
        <f>M706 * N706</f>
        <v>500</v>
      </c>
      <c r="P706" s="15">
        <f>O706*$S$3</f>
        <v>7.5</v>
      </c>
      <c r="Q706" s="15">
        <f>O706*$S$4</f>
        <v>10</v>
      </c>
    </row>
    <row r="707" spans="1:17">
      <c r="A707" s="2">
        <v>693</v>
      </c>
      <c r="B707" s="4">
        <f>DAY(G707)</f>
        <v>23</v>
      </c>
      <c r="C707" s="4">
        <f>MONTH(G707)</f>
        <v>4</v>
      </c>
      <c r="D707" s="4">
        <f>YEAR(G707)</f>
        <v>2023</v>
      </c>
      <c r="E707" s="4" t="str">
        <f>TEXT(G707,"dddd")</f>
        <v>Sunday</v>
      </c>
      <c r="F707" s="4" t="str">
        <f>TEXT(G707,"mmm")</f>
        <v>Apr</v>
      </c>
      <c r="G707" s="3">
        <v>45039</v>
      </c>
      <c r="H707" s="4" t="s">
        <v>740</v>
      </c>
      <c r="I707" s="4" t="s">
        <v>24</v>
      </c>
      <c r="J707" s="4" t="str" cm="1">
        <f t="array" ref="J707">_xlfn.IFS(K707&lt;30,"Young Adult",K707&lt;=50,"Adult",K707&gt;50,"Senior")</f>
        <v>Adult</v>
      </c>
      <c r="K707" s="4">
        <v>41</v>
      </c>
      <c r="L707" s="4" t="s">
        <v>7</v>
      </c>
      <c r="M707" s="4">
        <v>3</v>
      </c>
      <c r="N707" s="19">
        <v>500</v>
      </c>
      <c r="O707" s="15">
        <f>M707 * N707</f>
        <v>1500</v>
      </c>
      <c r="P707" s="15">
        <f>O707*$S$3</f>
        <v>22.5</v>
      </c>
      <c r="Q707" s="15">
        <f>O707*$S$4</f>
        <v>30</v>
      </c>
    </row>
    <row r="708" spans="1:17">
      <c r="A708" s="2">
        <v>129</v>
      </c>
      <c r="B708" s="4">
        <f>DAY(G708)</f>
        <v>23</v>
      </c>
      <c r="C708" s="4">
        <f>MONTH(G708)</f>
        <v>4</v>
      </c>
      <c r="D708" s="4">
        <f>YEAR(G708)</f>
        <v>2023</v>
      </c>
      <c r="E708" s="4" t="str">
        <f>TEXT(G708,"dddd")</f>
        <v>Sunday</v>
      </c>
      <c r="F708" s="4" t="str">
        <f>TEXT(G708,"mmm")</f>
        <v>Apr</v>
      </c>
      <c r="G708" s="3">
        <v>45039</v>
      </c>
      <c r="H708" s="4" t="s">
        <v>741</v>
      </c>
      <c r="I708" s="4" t="s">
        <v>29</v>
      </c>
      <c r="J708" s="4" t="str" cm="1">
        <f t="array" ref="J708">_xlfn.IFS(K708&lt;30,"Young Adult",K708&lt;=50,"Adult",K708&gt;50,"Senior")</f>
        <v>Young Adult</v>
      </c>
      <c r="K708" s="4">
        <v>21</v>
      </c>
      <c r="L708" s="4" t="s">
        <v>7</v>
      </c>
      <c r="M708" s="4">
        <v>2</v>
      </c>
      <c r="N708" s="19">
        <v>300</v>
      </c>
      <c r="O708" s="15">
        <f>M708 * N708</f>
        <v>600</v>
      </c>
      <c r="P708" s="15">
        <f>O708*$S$3</f>
        <v>9</v>
      </c>
      <c r="Q708" s="15">
        <f>O708*$S$4</f>
        <v>12</v>
      </c>
    </row>
    <row r="709" spans="1:17">
      <c r="A709" s="2">
        <v>755</v>
      </c>
      <c r="B709" s="4">
        <f>DAY(G709)</f>
        <v>22</v>
      </c>
      <c r="C709" s="4">
        <f>MONTH(G709)</f>
        <v>4</v>
      </c>
      <c r="D709" s="4">
        <f>YEAR(G709)</f>
        <v>2023</v>
      </c>
      <c r="E709" s="4" t="str">
        <f>TEXT(G709,"dddd")</f>
        <v>Saturday</v>
      </c>
      <c r="F709" s="4" t="str">
        <f>TEXT(G709,"mmm")</f>
        <v>Apr</v>
      </c>
      <c r="G709" s="3">
        <v>45038</v>
      </c>
      <c r="H709" s="4" t="s">
        <v>742</v>
      </c>
      <c r="I709" s="4" t="s">
        <v>29</v>
      </c>
      <c r="J709" s="4" t="str" cm="1">
        <f t="array" ref="J709">_xlfn.IFS(K709&lt;30,"Young Adult",K709&lt;=50,"Adult",K709&gt;50,"Senior")</f>
        <v>Senior</v>
      </c>
      <c r="K709" s="4">
        <v>58</v>
      </c>
      <c r="L709" s="4" t="s">
        <v>8</v>
      </c>
      <c r="M709" s="4">
        <v>3</v>
      </c>
      <c r="N709" s="19">
        <v>25</v>
      </c>
      <c r="O709" s="15">
        <f>M709 * N709</f>
        <v>75</v>
      </c>
      <c r="P709" s="15">
        <f>O709*$S$3</f>
        <v>1.125</v>
      </c>
      <c r="Q709" s="15">
        <f>O709*$S$4</f>
        <v>1.5</v>
      </c>
    </row>
    <row r="710" spans="1:17">
      <c r="A710" s="2">
        <v>316</v>
      </c>
      <c r="B710" s="4">
        <f>DAY(G710)</f>
        <v>22</v>
      </c>
      <c r="C710" s="4">
        <f>MONTH(G710)</f>
        <v>4</v>
      </c>
      <c r="D710" s="4">
        <f>YEAR(G710)</f>
        <v>2023</v>
      </c>
      <c r="E710" s="4" t="str">
        <f>TEXT(G710,"dddd")</f>
        <v>Saturday</v>
      </c>
      <c r="F710" s="4" t="str">
        <f>TEXT(G710,"mmm")</f>
        <v>Apr</v>
      </c>
      <c r="G710" s="3">
        <v>45038</v>
      </c>
      <c r="H710" s="4" t="s">
        <v>743</v>
      </c>
      <c r="I710" s="4" t="s">
        <v>29</v>
      </c>
      <c r="J710" s="4" t="str" cm="1">
        <f t="array" ref="J710">_xlfn.IFS(K710&lt;30,"Young Adult",K710&lt;=50,"Adult",K710&gt;50,"Senior")</f>
        <v>Adult</v>
      </c>
      <c r="K710" s="4">
        <v>48</v>
      </c>
      <c r="L710" s="4" t="s">
        <v>8</v>
      </c>
      <c r="M710" s="4">
        <v>2</v>
      </c>
      <c r="N710" s="19">
        <v>25</v>
      </c>
      <c r="O710" s="15">
        <f>M710 * N710</f>
        <v>50</v>
      </c>
      <c r="P710" s="15">
        <f>O710*$S$3</f>
        <v>0.75</v>
      </c>
      <c r="Q710" s="15">
        <f>O710*$S$4</f>
        <v>1</v>
      </c>
    </row>
    <row r="711" spans="1:17">
      <c r="A711" s="2">
        <v>17</v>
      </c>
      <c r="B711" s="4">
        <f>DAY(G711)</f>
        <v>22</v>
      </c>
      <c r="C711" s="4">
        <f>MONTH(G711)</f>
        <v>4</v>
      </c>
      <c r="D711" s="4">
        <f>YEAR(G711)</f>
        <v>2023</v>
      </c>
      <c r="E711" s="4" t="str">
        <f>TEXT(G711,"dddd")</f>
        <v>Saturday</v>
      </c>
      <c r="F711" s="4" t="str">
        <f>TEXT(G711,"mmm")</f>
        <v>Apr</v>
      </c>
      <c r="G711" s="3">
        <v>45038</v>
      </c>
      <c r="H711" s="4" t="s">
        <v>744</v>
      </c>
      <c r="I711" s="4" t="s">
        <v>29</v>
      </c>
      <c r="J711" s="4" t="str" cm="1">
        <f t="array" ref="J711">_xlfn.IFS(K711&lt;30,"Young Adult",K711&lt;=50,"Adult",K711&gt;50,"Senior")</f>
        <v>Young Adult</v>
      </c>
      <c r="K711" s="4">
        <v>27</v>
      </c>
      <c r="L711" s="4" t="s">
        <v>8</v>
      </c>
      <c r="M711" s="4">
        <v>4</v>
      </c>
      <c r="N711" s="19">
        <v>25</v>
      </c>
      <c r="O711" s="15">
        <f>M711 * N711</f>
        <v>100</v>
      </c>
      <c r="P711" s="15">
        <f>O711*$S$3</f>
        <v>1.5</v>
      </c>
      <c r="Q711" s="15">
        <f>O711*$S$4</f>
        <v>2</v>
      </c>
    </row>
    <row r="712" spans="1:17">
      <c r="A712" s="2">
        <v>893</v>
      </c>
      <c r="B712" s="4">
        <f>DAY(G712)</f>
        <v>21</v>
      </c>
      <c r="C712" s="4">
        <f>MONTH(G712)</f>
        <v>4</v>
      </c>
      <c r="D712" s="4">
        <f>YEAR(G712)</f>
        <v>2023</v>
      </c>
      <c r="E712" s="4" t="str">
        <f>TEXT(G712,"dddd")</f>
        <v>Friday</v>
      </c>
      <c r="F712" s="4" t="str">
        <f>TEXT(G712,"mmm")</f>
        <v>Apr</v>
      </c>
      <c r="G712" s="3">
        <v>45037</v>
      </c>
      <c r="H712" s="4" t="s">
        <v>745</v>
      </c>
      <c r="I712" s="4" t="s">
        <v>24</v>
      </c>
      <c r="J712" s="4" t="str" cm="1">
        <f t="array" ref="J712">_xlfn.IFS(K712&lt;30,"Young Adult",K712&lt;=50,"Adult",K712&gt;50,"Senior")</f>
        <v>Adult</v>
      </c>
      <c r="K712" s="4">
        <v>49</v>
      </c>
      <c r="L712" s="4" t="s">
        <v>9</v>
      </c>
      <c r="M712" s="4">
        <v>1</v>
      </c>
      <c r="N712" s="19">
        <v>50</v>
      </c>
      <c r="O712" s="15">
        <f>M712 * N712</f>
        <v>50</v>
      </c>
      <c r="P712" s="15">
        <f>O712*$S$3</f>
        <v>0.75</v>
      </c>
      <c r="Q712" s="15">
        <f>O712*$S$4</f>
        <v>1</v>
      </c>
    </row>
    <row r="713" spans="1:17">
      <c r="A713" s="2">
        <v>39</v>
      </c>
      <c r="B713" s="4">
        <f>DAY(G713)</f>
        <v>21</v>
      </c>
      <c r="C713" s="4">
        <f>MONTH(G713)</f>
        <v>4</v>
      </c>
      <c r="D713" s="4">
        <f>YEAR(G713)</f>
        <v>2023</v>
      </c>
      <c r="E713" s="4" t="str">
        <f>TEXT(G713,"dddd")</f>
        <v>Friday</v>
      </c>
      <c r="F713" s="4" t="str">
        <f>TEXT(G713,"mmm")</f>
        <v>Apr</v>
      </c>
      <c r="G713" s="3">
        <v>45037</v>
      </c>
      <c r="H713" s="4" t="s">
        <v>746</v>
      </c>
      <c r="I713" s="4" t="s">
        <v>24</v>
      </c>
      <c r="J713" s="4" t="str" cm="1">
        <f t="array" ref="J713">_xlfn.IFS(K713&lt;30,"Young Adult",K713&lt;=50,"Adult",K713&gt;50,"Senior")</f>
        <v>Young Adult</v>
      </c>
      <c r="K713" s="4">
        <v>23</v>
      </c>
      <c r="L713" s="4" t="s">
        <v>8</v>
      </c>
      <c r="M713" s="4">
        <v>4</v>
      </c>
      <c r="N713" s="19">
        <v>30</v>
      </c>
      <c r="O713" s="15">
        <f>M713 * N713</f>
        <v>120</v>
      </c>
      <c r="P713" s="15">
        <f>O713*$S$3</f>
        <v>1.7999999999999998</v>
      </c>
      <c r="Q713" s="15">
        <f>O713*$S$4</f>
        <v>2.4</v>
      </c>
    </row>
    <row r="714" spans="1:17">
      <c r="A714" s="2">
        <v>374</v>
      </c>
      <c r="B714" s="4">
        <f>DAY(G714)</f>
        <v>20</v>
      </c>
      <c r="C714" s="4">
        <f>MONTH(G714)</f>
        <v>4</v>
      </c>
      <c r="D714" s="4">
        <f>YEAR(G714)</f>
        <v>2023</v>
      </c>
      <c r="E714" s="4" t="str">
        <f>TEXT(G714,"dddd")</f>
        <v>Thursday</v>
      </c>
      <c r="F714" s="4" t="str">
        <f>TEXT(G714,"mmm")</f>
        <v>Apr</v>
      </c>
      <c r="G714" s="3">
        <v>45036</v>
      </c>
      <c r="H714" s="4" t="s">
        <v>747</v>
      </c>
      <c r="I714" s="4" t="s">
        <v>29</v>
      </c>
      <c r="J714" s="4" t="str" cm="1">
        <f t="array" ref="J714">_xlfn.IFS(K714&lt;30,"Young Adult",K714&lt;=50,"Adult",K714&gt;50,"Senior")</f>
        <v>Senior</v>
      </c>
      <c r="K714" s="4">
        <v>59</v>
      </c>
      <c r="L714" s="4" t="s">
        <v>7</v>
      </c>
      <c r="M714" s="4">
        <v>3</v>
      </c>
      <c r="N714" s="19">
        <v>25</v>
      </c>
      <c r="O714" s="15">
        <f>M714 * N714</f>
        <v>75</v>
      </c>
      <c r="P714" s="15">
        <f>O714*$S$3</f>
        <v>1.125</v>
      </c>
      <c r="Q714" s="15">
        <f>O714*$S$4</f>
        <v>1.5</v>
      </c>
    </row>
    <row r="715" spans="1:17">
      <c r="A715" s="2">
        <v>665</v>
      </c>
      <c r="B715" s="4">
        <f>DAY(G715)</f>
        <v>20</v>
      </c>
      <c r="C715" s="4">
        <f>MONTH(G715)</f>
        <v>4</v>
      </c>
      <c r="D715" s="4">
        <f>YEAR(G715)</f>
        <v>2023</v>
      </c>
      <c r="E715" s="4" t="str">
        <f>TEXT(G715,"dddd")</f>
        <v>Thursday</v>
      </c>
      <c r="F715" s="4" t="str">
        <f>TEXT(G715,"mmm")</f>
        <v>Apr</v>
      </c>
      <c r="G715" s="3">
        <v>45036</v>
      </c>
      <c r="H715" s="4" t="s">
        <v>748</v>
      </c>
      <c r="I715" s="4" t="s">
        <v>24</v>
      </c>
      <c r="J715" s="4" t="str" cm="1">
        <f t="array" ref="J715">_xlfn.IFS(K715&lt;30,"Young Adult",K715&lt;=50,"Adult",K715&gt;50,"Senior")</f>
        <v>Senior</v>
      </c>
      <c r="K715" s="4">
        <v>57</v>
      </c>
      <c r="L715" s="4" t="s">
        <v>8</v>
      </c>
      <c r="M715" s="4">
        <v>1</v>
      </c>
      <c r="N715" s="19">
        <v>50</v>
      </c>
      <c r="O715" s="15">
        <f>M715 * N715</f>
        <v>50</v>
      </c>
      <c r="P715" s="15">
        <f>O715*$S$3</f>
        <v>0.75</v>
      </c>
      <c r="Q715" s="15">
        <f>O715*$S$4</f>
        <v>1</v>
      </c>
    </row>
    <row r="716" spans="1:17">
      <c r="A716" s="2">
        <v>246</v>
      </c>
      <c r="B716" s="4">
        <f>DAY(G716)</f>
        <v>20</v>
      </c>
      <c r="C716" s="4">
        <f>MONTH(G716)</f>
        <v>4</v>
      </c>
      <c r="D716" s="4">
        <f>YEAR(G716)</f>
        <v>2023</v>
      </c>
      <c r="E716" s="4" t="str">
        <f>TEXT(G716,"dddd")</f>
        <v>Thursday</v>
      </c>
      <c r="F716" s="4" t="str">
        <f>TEXT(G716,"mmm")</f>
        <v>Apr</v>
      </c>
      <c r="G716" s="3">
        <v>45036</v>
      </c>
      <c r="H716" s="4" t="s">
        <v>749</v>
      </c>
      <c r="I716" s="4" t="s">
        <v>29</v>
      </c>
      <c r="J716" s="4" t="str" cm="1">
        <f t="array" ref="J716">_xlfn.IFS(K716&lt;30,"Young Adult",K716&lt;=50,"Adult",K716&gt;50,"Senior")</f>
        <v>Adult</v>
      </c>
      <c r="K716" s="4">
        <v>48</v>
      </c>
      <c r="L716" s="4" t="s">
        <v>9</v>
      </c>
      <c r="M716" s="4">
        <v>2</v>
      </c>
      <c r="N716" s="19">
        <v>25</v>
      </c>
      <c r="O716" s="15">
        <f>M716 * N716</f>
        <v>50</v>
      </c>
      <c r="P716" s="15">
        <f>O716*$S$3</f>
        <v>0.75</v>
      </c>
      <c r="Q716" s="15">
        <f>O716*$S$4</f>
        <v>1</v>
      </c>
    </row>
    <row r="717" spans="1:17">
      <c r="A717" s="2">
        <v>572</v>
      </c>
      <c r="B717" s="4">
        <f>DAY(G717)</f>
        <v>20</v>
      </c>
      <c r="C717" s="4">
        <f>MONTH(G717)</f>
        <v>4</v>
      </c>
      <c r="D717" s="4">
        <f>YEAR(G717)</f>
        <v>2023</v>
      </c>
      <c r="E717" s="4" t="str">
        <f>TEXT(G717,"dddd")</f>
        <v>Thursday</v>
      </c>
      <c r="F717" s="4" t="str">
        <f>TEXT(G717,"mmm")</f>
        <v>Apr</v>
      </c>
      <c r="G717" s="3">
        <v>45036</v>
      </c>
      <c r="H717" s="4" t="s">
        <v>750</v>
      </c>
      <c r="I717" s="4" t="s">
        <v>24</v>
      </c>
      <c r="J717" s="4" t="str" cm="1">
        <f t="array" ref="J717">_xlfn.IFS(K717&lt;30,"Young Adult",K717&lt;=50,"Adult",K717&gt;50,"Senior")</f>
        <v>Adult</v>
      </c>
      <c r="K717" s="4">
        <v>31</v>
      </c>
      <c r="L717" s="4" t="s">
        <v>8</v>
      </c>
      <c r="M717" s="4">
        <v>4</v>
      </c>
      <c r="N717" s="19">
        <v>500</v>
      </c>
      <c r="O717" s="15">
        <f>M717 * N717</f>
        <v>2000</v>
      </c>
      <c r="P717" s="15">
        <f>O717*$S$3</f>
        <v>30</v>
      </c>
      <c r="Q717" s="15">
        <f>O717*$S$4</f>
        <v>40</v>
      </c>
    </row>
    <row r="718" spans="1:17">
      <c r="A718" s="2">
        <v>298</v>
      </c>
      <c r="B718" s="4">
        <f>DAY(G718)</f>
        <v>20</v>
      </c>
      <c r="C718" s="4">
        <f>MONTH(G718)</f>
        <v>4</v>
      </c>
      <c r="D718" s="4">
        <f>YEAR(G718)</f>
        <v>2023</v>
      </c>
      <c r="E718" s="4" t="str">
        <f>TEXT(G718,"dddd")</f>
        <v>Thursday</v>
      </c>
      <c r="F718" s="4" t="str">
        <f>TEXT(G718,"mmm")</f>
        <v>Apr</v>
      </c>
      <c r="G718" s="3">
        <v>45036</v>
      </c>
      <c r="H718" s="4" t="s">
        <v>751</v>
      </c>
      <c r="I718" s="4" t="s">
        <v>24</v>
      </c>
      <c r="J718" s="4" t="str" cm="1">
        <f t="array" ref="J718">_xlfn.IFS(K718&lt;30,"Young Adult",K718&lt;=50,"Adult",K718&gt;50,"Senior")</f>
        <v>Young Adult</v>
      </c>
      <c r="K718" s="4">
        <v>27</v>
      </c>
      <c r="L718" s="4" t="s">
        <v>7</v>
      </c>
      <c r="M718" s="4">
        <v>4</v>
      </c>
      <c r="N718" s="19">
        <v>300</v>
      </c>
      <c r="O718" s="15">
        <f>M718 * N718</f>
        <v>1200</v>
      </c>
      <c r="P718" s="15">
        <f>O718*$S$3</f>
        <v>18</v>
      </c>
      <c r="Q718" s="15">
        <f>O718*$S$4</f>
        <v>24</v>
      </c>
    </row>
    <row r="719" spans="1:17">
      <c r="A719" s="2">
        <v>724</v>
      </c>
      <c r="B719" s="4">
        <f>DAY(G719)</f>
        <v>19</v>
      </c>
      <c r="C719" s="4">
        <f>MONTH(G719)</f>
        <v>4</v>
      </c>
      <c r="D719" s="4">
        <f>YEAR(G719)</f>
        <v>2023</v>
      </c>
      <c r="E719" s="4" t="str">
        <f>TEXT(G719,"dddd")</f>
        <v>Wednesday</v>
      </c>
      <c r="F719" s="4" t="str">
        <f>TEXT(G719,"mmm")</f>
        <v>Apr</v>
      </c>
      <c r="G719" s="3">
        <v>45035</v>
      </c>
      <c r="H719" s="4" t="s">
        <v>752</v>
      </c>
      <c r="I719" s="4" t="s">
        <v>24</v>
      </c>
      <c r="J719" s="4" t="str" cm="1">
        <f t="array" ref="J719">_xlfn.IFS(K719&lt;30,"Young Adult",K719&lt;=50,"Adult",K719&gt;50,"Senior")</f>
        <v>Senior</v>
      </c>
      <c r="K719" s="4">
        <v>61</v>
      </c>
      <c r="L719" s="4" t="s">
        <v>8</v>
      </c>
      <c r="M719" s="4">
        <v>3</v>
      </c>
      <c r="N719" s="19">
        <v>50</v>
      </c>
      <c r="O719" s="15">
        <f>M719 * N719</f>
        <v>150</v>
      </c>
      <c r="P719" s="15">
        <f>O719*$S$3</f>
        <v>2.25</v>
      </c>
      <c r="Q719" s="15">
        <f>O719*$S$4</f>
        <v>3</v>
      </c>
    </row>
    <row r="720" spans="1:17">
      <c r="A720" s="2">
        <v>207</v>
      </c>
      <c r="B720" s="4">
        <f>DAY(G720)</f>
        <v>19</v>
      </c>
      <c r="C720" s="4">
        <f>MONTH(G720)</f>
        <v>4</v>
      </c>
      <c r="D720" s="4">
        <f>YEAR(G720)</f>
        <v>2023</v>
      </c>
      <c r="E720" s="4" t="str">
        <f>TEXT(G720,"dddd")</f>
        <v>Wednesday</v>
      </c>
      <c r="F720" s="4" t="str">
        <f>TEXT(G720,"mmm")</f>
        <v>Apr</v>
      </c>
      <c r="G720" s="3">
        <v>45035</v>
      </c>
      <c r="H720" s="4" t="s">
        <v>753</v>
      </c>
      <c r="I720" s="4" t="s">
        <v>29</v>
      </c>
      <c r="J720" s="4" t="str" cm="1">
        <f t="array" ref="J720">_xlfn.IFS(K720&lt;30,"Young Adult",K720&lt;=50,"Adult",K720&gt;50,"Senior")</f>
        <v>Adult</v>
      </c>
      <c r="K720" s="4">
        <v>42</v>
      </c>
      <c r="L720" s="4" t="s">
        <v>7</v>
      </c>
      <c r="M720" s="4">
        <v>2</v>
      </c>
      <c r="N720" s="19">
        <v>25</v>
      </c>
      <c r="O720" s="15">
        <f>M720 * N720</f>
        <v>50</v>
      </c>
      <c r="P720" s="15">
        <f>O720*$S$3</f>
        <v>0.75</v>
      </c>
      <c r="Q720" s="15">
        <f>O720*$S$4</f>
        <v>1</v>
      </c>
    </row>
    <row r="721" spans="1:17">
      <c r="A721" s="2">
        <v>969</v>
      </c>
      <c r="B721" s="4">
        <f>DAY(G721)</f>
        <v>19</v>
      </c>
      <c r="C721" s="4">
        <f>MONTH(G721)</f>
        <v>4</v>
      </c>
      <c r="D721" s="4">
        <f>YEAR(G721)</f>
        <v>2023</v>
      </c>
      <c r="E721" s="4" t="str">
        <f>TEXT(G721,"dddd")</f>
        <v>Wednesday</v>
      </c>
      <c r="F721" s="4" t="str">
        <f>TEXT(G721,"mmm")</f>
        <v>Apr</v>
      </c>
      <c r="G721" s="3">
        <v>45035</v>
      </c>
      <c r="H721" s="4" t="s">
        <v>754</v>
      </c>
      <c r="I721" s="4" t="s">
        <v>29</v>
      </c>
      <c r="J721" s="4" t="str" cm="1">
        <f t="array" ref="J721">_xlfn.IFS(K721&lt;30,"Young Adult",K721&lt;=50,"Adult",K721&gt;50,"Senior")</f>
        <v>Adult</v>
      </c>
      <c r="K721" s="4">
        <v>40</v>
      </c>
      <c r="L721" s="4" t="s">
        <v>8</v>
      </c>
      <c r="M721" s="4">
        <v>3</v>
      </c>
      <c r="N721" s="19">
        <v>300</v>
      </c>
      <c r="O721" s="15">
        <f>M721 * N721</f>
        <v>900</v>
      </c>
      <c r="P721" s="15">
        <f>O721*$S$3</f>
        <v>13.5</v>
      </c>
      <c r="Q721" s="15">
        <f>O721*$S$4</f>
        <v>18</v>
      </c>
    </row>
    <row r="722" spans="1:17">
      <c r="A722" s="2">
        <v>111</v>
      </c>
      <c r="B722" s="4">
        <f>DAY(G722)</f>
        <v>19</v>
      </c>
      <c r="C722" s="4">
        <f>MONTH(G722)</f>
        <v>4</v>
      </c>
      <c r="D722" s="4">
        <f>YEAR(G722)</f>
        <v>2023</v>
      </c>
      <c r="E722" s="4" t="str">
        <f>TEXT(G722,"dddd")</f>
        <v>Wednesday</v>
      </c>
      <c r="F722" s="4" t="str">
        <f>TEXT(G722,"mmm")</f>
        <v>Apr</v>
      </c>
      <c r="G722" s="3">
        <v>45035</v>
      </c>
      <c r="H722" s="4" t="s">
        <v>755</v>
      </c>
      <c r="I722" s="4" t="s">
        <v>29</v>
      </c>
      <c r="J722" s="4" t="str" cm="1">
        <f t="array" ref="J722">_xlfn.IFS(K722&lt;30,"Young Adult",K722&lt;=50,"Adult",K722&gt;50,"Senior")</f>
        <v>Adult</v>
      </c>
      <c r="K722" s="4">
        <v>34</v>
      </c>
      <c r="L722" s="4" t="s">
        <v>9</v>
      </c>
      <c r="M722" s="4">
        <v>3</v>
      </c>
      <c r="N722" s="19">
        <v>500</v>
      </c>
      <c r="O722" s="15">
        <f>M722 * N722</f>
        <v>1500</v>
      </c>
      <c r="P722" s="15">
        <f>O722*$S$3</f>
        <v>22.5</v>
      </c>
      <c r="Q722" s="15">
        <f>O722*$S$4</f>
        <v>30</v>
      </c>
    </row>
    <row r="723" spans="1:17">
      <c r="A723" s="2">
        <v>108</v>
      </c>
      <c r="B723" s="4">
        <f>DAY(G723)</f>
        <v>19</v>
      </c>
      <c r="C723" s="4">
        <f>MONTH(G723)</f>
        <v>4</v>
      </c>
      <c r="D723" s="4">
        <f>YEAR(G723)</f>
        <v>2023</v>
      </c>
      <c r="E723" s="4" t="str">
        <f>TEXT(G723,"dddd")</f>
        <v>Wednesday</v>
      </c>
      <c r="F723" s="4" t="str">
        <f>TEXT(G723,"mmm")</f>
        <v>Apr</v>
      </c>
      <c r="G723" s="3">
        <v>45035</v>
      </c>
      <c r="H723" s="4" t="s">
        <v>756</v>
      </c>
      <c r="I723" s="4" t="s">
        <v>29</v>
      </c>
      <c r="J723" s="4" t="str" cm="1">
        <f t="array" ref="J723">_xlfn.IFS(K723&lt;30,"Young Adult",K723&lt;=50,"Adult",K723&gt;50,"Senior")</f>
        <v>Young Adult</v>
      </c>
      <c r="K723" s="4">
        <v>27</v>
      </c>
      <c r="L723" s="4" t="s">
        <v>7</v>
      </c>
      <c r="M723" s="4">
        <v>3</v>
      </c>
      <c r="N723" s="19">
        <v>25</v>
      </c>
      <c r="O723" s="15">
        <f>M723 * N723</f>
        <v>75</v>
      </c>
      <c r="P723" s="15">
        <f>O723*$S$3</f>
        <v>1.125</v>
      </c>
      <c r="Q723" s="15">
        <f>O723*$S$4</f>
        <v>1.5</v>
      </c>
    </row>
    <row r="724" spans="1:17">
      <c r="A724" s="2">
        <v>836</v>
      </c>
      <c r="B724" s="4">
        <f>DAY(G724)</f>
        <v>19</v>
      </c>
      <c r="C724" s="4">
        <f>MONTH(G724)</f>
        <v>4</v>
      </c>
      <c r="D724" s="4">
        <f>YEAR(G724)</f>
        <v>2023</v>
      </c>
      <c r="E724" s="4" t="str">
        <f>TEXT(G724,"dddd")</f>
        <v>Wednesday</v>
      </c>
      <c r="F724" s="4" t="str">
        <f>TEXT(G724,"mmm")</f>
        <v>Apr</v>
      </c>
      <c r="G724" s="3">
        <v>45035</v>
      </c>
      <c r="H724" s="4" t="s">
        <v>757</v>
      </c>
      <c r="I724" s="4" t="s">
        <v>29</v>
      </c>
      <c r="J724" s="4" t="str" cm="1">
        <f t="array" ref="J724">_xlfn.IFS(K724&lt;30,"Young Adult",K724&lt;=50,"Adult",K724&gt;50,"Senior")</f>
        <v>Young Adult</v>
      </c>
      <c r="K724" s="4">
        <v>22</v>
      </c>
      <c r="L724" s="4" t="s">
        <v>8</v>
      </c>
      <c r="M724" s="4">
        <v>1</v>
      </c>
      <c r="N724" s="19">
        <v>50</v>
      </c>
      <c r="O724" s="15">
        <f>M724 * N724</f>
        <v>50</v>
      </c>
      <c r="P724" s="15">
        <f>O724*$S$3</f>
        <v>0.75</v>
      </c>
      <c r="Q724" s="15">
        <f>O724*$S$4</f>
        <v>1</v>
      </c>
    </row>
    <row r="725" spans="1:17">
      <c r="A725" s="2">
        <v>450</v>
      </c>
      <c r="B725" s="4">
        <f>DAY(G725)</f>
        <v>18</v>
      </c>
      <c r="C725" s="4">
        <f>MONTH(G725)</f>
        <v>4</v>
      </c>
      <c r="D725" s="4">
        <f>YEAR(G725)</f>
        <v>2023</v>
      </c>
      <c r="E725" s="4" t="str">
        <f>TEXT(G725,"dddd")</f>
        <v>Tuesday</v>
      </c>
      <c r="F725" s="4" t="str">
        <f>TEXT(G725,"mmm")</f>
        <v>Apr</v>
      </c>
      <c r="G725" s="3">
        <v>45034</v>
      </c>
      <c r="H725" s="4" t="s">
        <v>758</v>
      </c>
      <c r="I725" s="4" t="s">
        <v>29</v>
      </c>
      <c r="J725" s="4" t="str" cm="1">
        <f t="array" ref="J725">_xlfn.IFS(K725&lt;30,"Young Adult",K725&lt;=50,"Adult",K725&gt;50,"Senior")</f>
        <v>Senior</v>
      </c>
      <c r="K725" s="4">
        <v>59</v>
      </c>
      <c r="L725" s="4" t="s">
        <v>7</v>
      </c>
      <c r="M725" s="4">
        <v>2</v>
      </c>
      <c r="N725" s="19">
        <v>25</v>
      </c>
      <c r="O725" s="15">
        <f>M725 * N725</f>
        <v>50</v>
      </c>
      <c r="P725" s="15">
        <f>O725*$S$3</f>
        <v>0.75</v>
      </c>
      <c r="Q725" s="15">
        <f>O725*$S$4</f>
        <v>1</v>
      </c>
    </row>
    <row r="726" spans="1:17">
      <c r="A726" s="2">
        <v>562</v>
      </c>
      <c r="B726" s="4">
        <f>DAY(G726)</f>
        <v>18</v>
      </c>
      <c r="C726" s="4">
        <f>MONTH(G726)</f>
        <v>4</v>
      </c>
      <c r="D726" s="4">
        <f>YEAR(G726)</f>
        <v>2023</v>
      </c>
      <c r="E726" s="4" t="str">
        <f>TEXT(G726,"dddd")</f>
        <v>Tuesday</v>
      </c>
      <c r="F726" s="4" t="str">
        <f>TEXT(G726,"mmm")</f>
        <v>Apr</v>
      </c>
      <c r="G726" s="3">
        <v>45034</v>
      </c>
      <c r="H726" s="4" t="s">
        <v>759</v>
      </c>
      <c r="I726" s="4" t="s">
        <v>24</v>
      </c>
      <c r="J726" s="4" t="str" cm="1">
        <f t="array" ref="J726">_xlfn.IFS(K726&lt;30,"Young Adult",K726&lt;=50,"Adult",K726&gt;50,"Senior")</f>
        <v>Senior</v>
      </c>
      <c r="K726" s="4">
        <v>54</v>
      </c>
      <c r="L726" s="4" t="s">
        <v>9</v>
      </c>
      <c r="M726" s="4">
        <v>2</v>
      </c>
      <c r="N726" s="19">
        <v>25</v>
      </c>
      <c r="O726" s="15">
        <f>M726 * N726</f>
        <v>50</v>
      </c>
      <c r="P726" s="15">
        <f>O726*$S$3</f>
        <v>0.75</v>
      </c>
      <c r="Q726" s="15">
        <f>O726*$S$4</f>
        <v>1</v>
      </c>
    </row>
    <row r="727" spans="1:17">
      <c r="A727" s="2">
        <v>79</v>
      </c>
      <c r="B727" s="4">
        <f>DAY(G727)</f>
        <v>18</v>
      </c>
      <c r="C727" s="4">
        <f>MONTH(G727)</f>
        <v>4</v>
      </c>
      <c r="D727" s="4">
        <f>YEAR(G727)</f>
        <v>2023</v>
      </c>
      <c r="E727" s="4" t="str">
        <f>TEXT(G727,"dddd")</f>
        <v>Tuesday</v>
      </c>
      <c r="F727" s="4" t="str">
        <f>TEXT(G727,"mmm")</f>
        <v>Apr</v>
      </c>
      <c r="G727" s="3">
        <v>45034</v>
      </c>
      <c r="H727" s="4" t="s">
        <v>760</v>
      </c>
      <c r="I727" s="4" t="s">
        <v>24</v>
      </c>
      <c r="J727" s="4" t="str" cm="1">
        <f t="array" ref="J727">_xlfn.IFS(K727&lt;30,"Young Adult",K727&lt;=50,"Adult",K727&gt;50,"Senior")</f>
        <v>Adult</v>
      </c>
      <c r="K727" s="4">
        <v>34</v>
      </c>
      <c r="L727" s="4" t="s">
        <v>7</v>
      </c>
      <c r="M727" s="4">
        <v>1</v>
      </c>
      <c r="N727" s="19">
        <v>300</v>
      </c>
      <c r="O727" s="15">
        <f>M727 * N727</f>
        <v>300</v>
      </c>
      <c r="P727" s="15">
        <f>O727*$S$3</f>
        <v>4.5</v>
      </c>
      <c r="Q727" s="15">
        <f>O727*$S$4</f>
        <v>6</v>
      </c>
    </row>
    <row r="728" spans="1:17">
      <c r="A728" s="2">
        <v>406</v>
      </c>
      <c r="B728" s="4">
        <f>DAY(G728)</f>
        <v>18</v>
      </c>
      <c r="C728" s="4">
        <f>MONTH(G728)</f>
        <v>4</v>
      </c>
      <c r="D728" s="4">
        <f>YEAR(G728)</f>
        <v>2023</v>
      </c>
      <c r="E728" s="4" t="str">
        <f>TEXT(G728,"dddd")</f>
        <v>Tuesday</v>
      </c>
      <c r="F728" s="4" t="str">
        <f>TEXT(G728,"mmm")</f>
        <v>Apr</v>
      </c>
      <c r="G728" s="3">
        <v>45034</v>
      </c>
      <c r="H728" s="4" t="s">
        <v>761</v>
      </c>
      <c r="I728" s="4" t="s">
        <v>29</v>
      </c>
      <c r="J728" s="4" t="str" cm="1">
        <f t="array" ref="J728">_xlfn.IFS(K728&lt;30,"Young Adult",K728&lt;=50,"Adult",K728&gt;50,"Senior")</f>
        <v>Young Adult</v>
      </c>
      <c r="K728" s="4">
        <v>22</v>
      </c>
      <c r="L728" s="4" t="s">
        <v>7</v>
      </c>
      <c r="M728" s="4">
        <v>4</v>
      </c>
      <c r="N728" s="19">
        <v>25</v>
      </c>
      <c r="O728" s="15">
        <f>M728 * N728</f>
        <v>100</v>
      </c>
      <c r="P728" s="15">
        <f>O728*$S$3</f>
        <v>1.5</v>
      </c>
      <c r="Q728" s="15">
        <f>O728*$S$4</f>
        <v>2</v>
      </c>
    </row>
    <row r="729" spans="1:17">
      <c r="A729" s="2">
        <v>967</v>
      </c>
      <c r="B729" s="4">
        <f>DAY(G729)</f>
        <v>17</v>
      </c>
      <c r="C729" s="4">
        <f>MONTH(G729)</f>
        <v>4</v>
      </c>
      <c r="D729" s="4">
        <f>YEAR(G729)</f>
        <v>2023</v>
      </c>
      <c r="E729" s="4" t="str">
        <f>TEXT(G729,"dddd")</f>
        <v>Monday</v>
      </c>
      <c r="F729" s="4" t="str">
        <f>TEXT(G729,"mmm")</f>
        <v>Apr</v>
      </c>
      <c r="G729" s="3">
        <v>45033</v>
      </c>
      <c r="H729" s="4" t="s">
        <v>762</v>
      </c>
      <c r="I729" s="4" t="s">
        <v>24</v>
      </c>
      <c r="J729" s="4" t="str" cm="1">
        <f t="array" ref="J729">_xlfn.IFS(K729&lt;30,"Young Adult",K729&lt;=50,"Adult",K729&gt;50,"Senior")</f>
        <v>Senior</v>
      </c>
      <c r="K729" s="4">
        <v>62</v>
      </c>
      <c r="L729" s="4" t="s">
        <v>7</v>
      </c>
      <c r="M729" s="4">
        <v>1</v>
      </c>
      <c r="N729" s="19">
        <v>25</v>
      </c>
      <c r="O729" s="15">
        <f>M729 * N729</f>
        <v>25</v>
      </c>
      <c r="P729" s="15">
        <f>O729*$S$3</f>
        <v>0.375</v>
      </c>
      <c r="Q729" s="15">
        <f>O729*$S$4</f>
        <v>0.5</v>
      </c>
    </row>
    <row r="730" spans="1:17">
      <c r="A730" s="2">
        <v>674</v>
      </c>
      <c r="B730" s="4">
        <f>DAY(G730)</f>
        <v>16</v>
      </c>
      <c r="C730" s="4">
        <f>MONTH(G730)</f>
        <v>4</v>
      </c>
      <c r="D730" s="4">
        <f>YEAR(G730)</f>
        <v>2023</v>
      </c>
      <c r="E730" s="4" t="str">
        <f>TEXT(G730,"dddd")</f>
        <v>Sunday</v>
      </c>
      <c r="F730" s="4" t="str">
        <f>TEXT(G730,"mmm")</f>
        <v>Apr</v>
      </c>
      <c r="G730" s="3">
        <v>45032</v>
      </c>
      <c r="H730" s="4" t="s">
        <v>763</v>
      </c>
      <c r="I730" s="4" t="s">
        <v>29</v>
      </c>
      <c r="J730" s="4" t="str" cm="1">
        <f t="array" ref="J730">_xlfn.IFS(K730&lt;30,"Young Adult",K730&lt;=50,"Adult",K730&gt;50,"Senior")</f>
        <v>Adult</v>
      </c>
      <c r="K730" s="4">
        <v>38</v>
      </c>
      <c r="L730" s="4" t="s">
        <v>8</v>
      </c>
      <c r="M730" s="4">
        <v>1</v>
      </c>
      <c r="N730" s="19">
        <v>300</v>
      </c>
      <c r="O730" s="15">
        <f>M730 * N730</f>
        <v>300</v>
      </c>
      <c r="P730" s="15">
        <f>O730*$S$3</f>
        <v>4.5</v>
      </c>
      <c r="Q730" s="15">
        <f>O730*$S$4</f>
        <v>6</v>
      </c>
    </row>
    <row r="731" spans="1:17">
      <c r="A731" s="2">
        <v>408</v>
      </c>
      <c r="B731" s="4">
        <f>DAY(G731)</f>
        <v>15</v>
      </c>
      <c r="C731" s="4">
        <f>MONTH(G731)</f>
        <v>4</v>
      </c>
      <c r="D731" s="4">
        <f>YEAR(G731)</f>
        <v>2023</v>
      </c>
      <c r="E731" s="4" t="str">
        <f>TEXT(G731,"dddd")</f>
        <v>Saturday</v>
      </c>
      <c r="F731" s="4" t="str">
        <f>TEXT(G731,"mmm")</f>
        <v>Apr</v>
      </c>
      <c r="G731" s="3">
        <v>45031</v>
      </c>
      <c r="H731" s="4" t="s">
        <v>764</v>
      </c>
      <c r="I731" s="4" t="s">
        <v>29</v>
      </c>
      <c r="J731" s="4" t="str" cm="1">
        <f t="array" ref="J731">_xlfn.IFS(K731&lt;30,"Young Adult",K731&lt;=50,"Adult",K731&gt;50,"Senior")</f>
        <v>Senior</v>
      </c>
      <c r="K731" s="4">
        <v>64</v>
      </c>
      <c r="L731" s="4" t="s">
        <v>7</v>
      </c>
      <c r="M731" s="4">
        <v>1</v>
      </c>
      <c r="N731" s="19">
        <v>500</v>
      </c>
      <c r="O731" s="15">
        <f>M731 * N731</f>
        <v>500</v>
      </c>
      <c r="P731" s="15">
        <f>O731*$S$3</f>
        <v>7.5</v>
      </c>
      <c r="Q731" s="15">
        <f>O731*$S$4</f>
        <v>10</v>
      </c>
    </row>
    <row r="732" spans="1:17">
      <c r="A732" s="2">
        <v>354</v>
      </c>
      <c r="B732" s="4">
        <f>DAY(G732)</f>
        <v>15</v>
      </c>
      <c r="C732" s="4">
        <f>MONTH(G732)</f>
        <v>4</v>
      </c>
      <c r="D732" s="4">
        <f>YEAR(G732)</f>
        <v>2023</v>
      </c>
      <c r="E732" s="4" t="str">
        <f>TEXT(G732,"dddd")</f>
        <v>Saturday</v>
      </c>
      <c r="F732" s="4" t="str">
        <f>TEXT(G732,"mmm")</f>
        <v>Apr</v>
      </c>
      <c r="G732" s="3">
        <v>45031</v>
      </c>
      <c r="H732" s="4" t="s">
        <v>765</v>
      </c>
      <c r="I732" s="4" t="s">
        <v>29</v>
      </c>
      <c r="J732" s="4" t="str" cm="1">
        <f t="array" ref="J732">_xlfn.IFS(K732&lt;30,"Young Adult",K732&lt;=50,"Adult",K732&gt;50,"Senior")</f>
        <v>Adult</v>
      </c>
      <c r="K732" s="4">
        <v>49</v>
      </c>
      <c r="L732" s="4" t="s">
        <v>7</v>
      </c>
      <c r="M732" s="4">
        <v>4</v>
      </c>
      <c r="N732" s="19">
        <v>50</v>
      </c>
      <c r="O732" s="15">
        <f>M732 * N732</f>
        <v>200</v>
      </c>
      <c r="P732" s="15">
        <f>O732*$S$3</f>
        <v>3</v>
      </c>
      <c r="Q732" s="15">
        <f>O732*$S$4</f>
        <v>4</v>
      </c>
    </row>
    <row r="733" spans="1:17">
      <c r="A733" s="2">
        <v>478</v>
      </c>
      <c r="B733" s="4">
        <f>DAY(G733)</f>
        <v>13</v>
      </c>
      <c r="C733" s="4">
        <f>MONTH(G733)</f>
        <v>4</v>
      </c>
      <c r="D733" s="4">
        <f>YEAR(G733)</f>
        <v>2023</v>
      </c>
      <c r="E733" s="4" t="str">
        <f>TEXT(G733,"dddd")</f>
        <v>Thursday</v>
      </c>
      <c r="F733" s="4" t="str">
        <f>TEXT(G733,"mmm")</f>
        <v>Apr</v>
      </c>
      <c r="G733" s="3">
        <v>45029</v>
      </c>
      <c r="H733" s="4" t="s">
        <v>766</v>
      </c>
      <c r="I733" s="4" t="s">
        <v>29</v>
      </c>
      <c r="J733" s="4" t="str" cm="1">
        <f t="array" ref="J733">_xlfn.IFS(K733&lt;30,"Young Adult",K733&lt;=50,"Adult",K733&gt;50,"Senior")</f>
        <v>Senior</v>
      </c>
      <c r="K733" s="4">
        <v>58</v>
      </c>
      <c r="L733" s="4" t="s">
        <v>8</v>
      </c>
      <c r="M733" s="4">
        <v>2</v>
      </c>
      <c r="N733" s="19">
        <v>30</v>
      </c>
      <c r="O733" s="15">
        <f>M733 * N733</f>
        <v>60</v>
      </c>
      <c r="P733" s="15">
        <f>O733*$S$3</f>
        <v>0.89999999999999991</v>
      </c>
      <c r="Q733" s="15">
        <f>O733*$S$4</f>
        <v>1.2</v>
      </c>
    </row>
    <row r="734" spans="1:17">
      <c r="A734" s="2">
        <v>745</v>
      </c>
      <c r="B734" s="4">
        <f>DAY(G734)</f>
        <v>13</v>
      </c>
      <c r="C734" s="4">
        <f>MONTH(G734)</f>
        <v>4</v>
      </c>
      <c r="D734" s="4">
        <f>YEAR(G734)</f>
        <v>2023</v>
      </c>
      <c r="E734" s="4" t="str">
        <f>TEXT(G734,"dddd")</f>
        <v>Thursday</v>
      </c>
      <c r="F734" s="4" t="str">
        <f>TEXT(G734,"mmm")</f>
        <v>Apr</v>
      </c>
      <c r="G734" s="3">
        <v>45029</v>
      </c>
      <c r="H734" s="4" t="s">
        <v>767</v>
      </c>
      <c r="I734" s="4" t="s">
        <v>24</v>
      </c>
      <c r="J734" s="4" t="str" cm="1">
        <f t="array" ref="J734">_xlfn.IFS(K734&lt;30,"Young Adult",K734&lt;=50,"Adult",K734&gt;50,"Senior")</f>
        <v>Senior</v>
      </c>
      <c r="K734" s="4">
        <v>54</v>
      </c>
      <c r="L734" s="4" t="s">
        <v>7</v>
      </c>
      <c r="M734" s="4">
        <v>2</v>
      </c>
      <c r="N734" s="19">
        <v>50</v>
      </c>
      <c r="O734" s="15">
        <f>M734 * N734</f>
        <v>100</v>
      </c>
      <c r="P734" s="15">
        <f>O734*$S$3</f>
        <v>1.5</v>
      </c>
      <c r="Q734" s="15">
        <f>O734*$S$4</f>
        <v>2</v>
      </c>
    </row>
    <row r="735" spans="1:17">
      <c r="A735" s="2">
        <v>210</v>
      </c>
      <c r="B735" s="4">
        <f>DAY(G735)</f>
        <v>13</v>
      </c>
      <c r="C735" s="4">
        <f>MONTH(G735)</f>
        <v>4</v>
      </c>
      <c r="D735" s="4">
        <f>YEAR(G735)</f>
        <v>2023</v>
      </c>
      <c r="E735" s="4" t="str">
        <f>TEXT(G735,"dddd")</f>
        <v>Thursday</v>
      </c>
      <c r="F735" s="4" t="str">
        <f>TEXT(G735,"mmm")</f>
        <v>Apr</v>
      </c>
      <c r="G735" s="3">
        <v>45029</v>
      </c>
      <c r="H735" s="4" t="s">
        <v>768</v>
      </c>
      <c r="I735" s="4" t="s">
        <v>24</v>
      </c>
      <c r="J735" s="4" t="str" cm="1">
        <f t="array" ref="J735">_xlfn.IFS(K735&lt;30,"Young Adult",K735&lt;=50,"Adult",K735&gt;50,"Senior")</f>
        <v>Adult</v>
      </c>
      <c r="K735" s="4">
        <v>37</v>
      </c>
      <c r="L735" s="4" t="s">
        <v>9</v>
      </c>
      <c r="M735" s="4">
        <v>4</v>
      </c>
      <c r="N735" s="19">
        <v>50</v>
      </c>
      <c r="O735" s="15">
        <f>M735 * N735</f>
        <v>200</v>
      </c>
      <c r="P735" s="15">
        <f>O735*$S$3</f>
        <v>3</v>
      </c>
      <c r="Q735" s="15">
        <f>O735*$S$4</f>
        <v>4</v>
      </c>
    </row>
    <row r="736" spans="1:17">
      <c r="A736" s="2">
        <v>1000</v>
      </c>
      <c r="B736" s="4">
        <f>DAY(G736)</f>
        <v>12</v>
      </c>
      <c r="C736" s="4">
        <f>MONTH(G736)</f>
        <v>4</v>
      </c>
      <c r="D736" s="4">
        <f>YEAR(G736)</f>
        <v>2023</v>
      </c>
      <c r="E736" s="4" t="str">
        <f>TEXT(G736,"dddd")</f>
        <v>Wednesday</v>
      </c>
      <c r="F736" s="4" t="str">
        <f>TEXT(G736,"mmm")</f>
        <v>Apr</v>
      </c>
      <c r="G736" s="3">
        <v>45028</v>
      </c>
      <c r="H736" s="4" t="s">
        <v>769</v>
      </c>
      <c r="I736" s="4" t="s">
        <v>24</v>
      </c>
      <c r="J736" s="4" t="str" cm="1">
        <f t="array" ref="J736">_xlfn.IFS(K736&lt;30,"Young Adult",K736&lt;=50,"Adult",K736&gt;50,"Senior")</f>
        <v>Adult</v>
      </c>
      <c r="K736" s="4">
        <v>47</v>
      </c>
      <c r="L736" s="4" t="s">
        <v>9</v>
      </c>
      <c r="M736" s="4">
        <v>4</v>
      </c>
      <c r="N736" s="19">
        <v>30</v>
      </c>
      <c r="O736" s="15">
        <f>M736 * N736</f>
        <v>120</v>
      </c>
      <c r="P736" s="15">
        <f>O736*$S$3</f>
        <v>1.7999999999999998</v>
      </c>
      <c r="Q736" s="15">
        <f>O736*$S$4</f>
        <v>2.4</v>
      </c>
    </row>
    <row r="737" spans="1:17">
      <c r="A737" s="2">
        <v>774</v>
      </c>
      <c r="B737" s="4">
        <f>DAY(G737)</f>
        <v>12</v>
      </c>
      <c r="C737" s="4">
        <f>MONTH(G737)</f>
        <v>4</v>
      </c>
      <c r="D737" s="4">
        <f>YEAR(G737)</f>
        <v>2023</v>
      </c>
      <c r="E737" s="4" t="str">
        <f>TEXT(G737,"dddd")</f>
        <v>Wednesday</v>
      </c>
      <c r="F737" s="4" t="str">
        <f>TEXT(G737,"mmm")</f>
        <v>Apr</v>
      </c>
      <c r="G737" s="3">
        <v>45028</v>
      </c>
      <c r="H737" s="4" t="s">
        <v>770</v>
      </c>
      <c r="I737" s="4" t="s">
        <v>29</v>
      </c>
      <c r="J737" s="4" t="str" cm="1">
        <f t="array" ref="J737">_xlfn.IFS(K737&lt;30,"Young Adult",K737&lt;=50,"Adult",K737&gt;50,"Senior")</f>
        <v>Adult</v>
      </c>
      <c r="K737" s="4">
        <v>40</v>
      </c>
      <c r="L737" s="4" t="s">
        <v>8</v>
      </c>
      <c r="M737" s="4">
        <v>2</v>
      </c>
      <c r="N737" s="19">
        <v>25</v>
      </c>
      <c r="O737" s="15">
        <f>M737 * N737</f>
        <v>50</v>
      </c>
      <c r="P737" s="15">
        <f>O737*$S$3</f>
        <v>0.75</v>
      </c>
      <c r="Q737" s="15">
        <f>O737*$S$4</f>
        <v>1</v>
      </c>
    </row>
    <row r="738" spans="1:17">
      <c r="A738" s="2">
        <v>174</v>
      </c>
      <c r="B738" s="4">
        <f>DAY(G738)</f>
        <v>12</v>
      </c>
      <c r="C738" s="4">
        <f>MONTH(G738)</f>
        <v>4</v>
      </c>
      <c r="D738" s="4">
        <f>YEAR(G738)</f>
        <v>2023</v>
      </c>
      <c r="E738" s="4" t="str">
        <f>TEXT(G738,"dddd")</f>
        <v>Wednesday</v>
      </c>
      <c r="F738" s="4" t="str">
        <f>TEXT(G738,"mmm")</f>
        <v>Apr</v>
      </c>
      <c r="G738" s="3">
        <v>45028</v>
      </c>
      <c r="H738" s="4" t="s">
        <v>771</v>
      </c>
      <c r="I738" s="4" t="s">
        <v>29</v>
      </c>
      <c r="J738" s="4" t="str" cm="1">
        <f t="array" ref="J738">_xlfn.IFS(K738&lt;30,"Young Adult",K738&lt;=50,"Adult",K738&gt;50,"Senior")</f>
        <v>Adult</v>
      </c>
      <c r="K738" s="4">
        <v>39</v>
      </c>
      <c r="L738" s="4" t="s">
        <v>7</v>
      </c>
      <c r="M738" s="4">
        <v>1</v>
      </c>
      <c r="N738" s="19">
        <v>300</v>
      </c>
      <c r="O738" s="15">
        <f>M738 * N738</f>
        <v>300</v>
      </c>
      <c r="P738" s="15">
        <f>O738*$S$3</f>
        <v>4.5</v>
      </c>
      <c r="Q738" s="15">
        <f>O738*$S$4</f>
        <v>6</v>
      </c>
    </row>
    <row r="739" spans="1:17">
      <c r="A739" s="2">
        <v>589</v>
      </c>
      <c r="B739" s="4">
        <f>DAY(G739)</f>
        <v>12</v>
      </c>
      <c r="C739" s="4">
        <f>MONTH(G739)</f>
        <v>4</v>
      </c>
      <c r="D739" s="4">
        <f>YEAR(G739)</f>
        <v>2023</v>
      </c>
      <c r="E739" s="4" t="str">
        <f>TEXT(G739,"dddd")</f>
        <v>Wednesday</v>
      </c>
      <c r="F739" s="4" t="str">
        <f>TEXT(G739,"mmm")</f>
        <v>Apr</v>
      </c>
      <c r="G739" s="3">
        <v>45028</v>
      </c>
      <c r="H739" s="4" t="s">
        <v>772</v>
      </c>
      <c r="I739" s="4" t="s">
        <v>29</v>
      </c>
      <c r="J739" s="4" t="str" cm="1">
        <f t="array" ref="J739">_xlfn.IFS(K739&lt;30,"Young Adult",K739&lt;=50,"Adult",K739&gt;50,"Senior")</f>
        <v>Adult</v>
      </c>
      <c r="K739" s="4">
        <v>36</v>
      </c>
      <c r="L739" s="4" t="s">
        <v>7</v>
      </c>
      <c r="M739" s="4">
        <v>2</v>
      </c>
      <c r="N739" s="19">
        <v>500</v>
      </c>
      <c r="O739" s="15">
        <f>M739 * N739</f>
        <v>1000</v>
      </c>
      <c r="P739" s="15">
        <f>O739*$S$3</f>
        <v>15</v>
      </c>
      <c r="Q739" s="15">
        <f>O739*$S$4</f>
        <v>20</v>
      </c>
    </row>
    <row r="740" spans="1:17">
      <c r="A740" s="2">
        <v>23</v>
      </c>
      <c r="B740" s="4">
        <f>DAY(G740)</f>
        <v>12</v>
      </c>
      <c r="C740" s="4">
        <f>MONTH(G740)</f>
        <v>4</v>
      </c>
      <c r="D740" s="4">
        <f>YEAR(G740)</f>
        <v>2023</v>
      </c>
      <c r="E740" s="4" t="str">
        <f>TEXT(G740,"dddd")</f>
        <v>Wednesday</v>
      </c>
      <c r="F740" s="4" t="str">
        <f>TEXT(G740,"mmm")</f>
        <v>Apr</v>
      </c>
      <c r="G740" s="3">
        <v>45028</v>
      </c>
      <c r="H740" s="4" t="s">
        <v>773</v>
      </c>
      <c r="I740" s="4" t="s">
        <v>29</v>
      </c>
      <c r="J740" s="4" t="str" cm="1">
        <f t="array" ref="J740">_xlfn.IFS(K740&lt;30,"Young Adult",K740&lt;=50,"Adult",K740&gt;50,"Senior")</f>
        <v>Adult</v>
      </c>
      <c r="K740" s="4">
        <v>35</v>
      </c>
      <c r="L740" s="4" t="s">
        <v>8</v>
      </c>
      <c r="M740" s="4">
        <v>4</v>
      </c>
      <c r="N740" s="19">
        <v>30</v>
      </c>
      <c r="O740" s="15">
        <f>M740 * N740</f>
        <v>120</v>
      </c>
      <c r="P740" s="15">
        <f>O740*$S$3</f>
        <v>1.7999999999999998</v>
      </c>
      <c r="Q740" s="15">
        <f>O740*$S$4</f>
        <v>2.4</v>
      </c>
    </row>
    <row r="741" spans="1:17">
      <c r="A741" s="2">
        <v>527</v>
      </c>
      <c r="B741" s="4">
        <f>DAY(G741)</f>
        <v>11</v>
      </c>
      <c r="C741" s="4">
        <f>MONTH(G741)</f>
        <v>4</v>
      </c>
      <c r="D741" s="4">
        <f>YEAR(G741)</f>
        <v>2023</v>
      </c>
      <c r="E741" s="4" t="str">
        <f>TEXT(G741,"dddd")</f>
        <v>Tuesday</v>
      </c>
      <c r="F741" s="4" t="str">
        <f>TEXT(G741,"mmm")</f>
        <v>Apr</v>
      </c>
      <c r="G741" s="3">
        <v>45027</v>
      </c>
      <c r="H741" s="4" t="s">
        <v>774</v>
      </c>
      <c r="I741" s="4" t="s">
        <v>24</v>
      </c>
      <c r="J741" s="4" t="str" cm="1">
        <f t="array" ref="J741">_xlfn.IFS(K741&lt;30,"Young Adult",K741&lt;=50,"Adult",K741&gt;50,"Senior")</f>
        <v>Senior</v>
      </c>
      <c r="K741" s="4">
        <v>57</v>
      </c>
      <c r="L741" s="4" t="s">
        <v>8</v>
      </c>
      <c r="M741" s="4">
        <v>2</v>
      </c>
      <c r="N741" s="19">
        <v>25</v>
      </c>
      <c r="O741" s="15">
        <f>M741 * N741</f>
        <v>50</v>
      </c>
      <c r="P741" s="15">
        <f>O741*$S$3</f>
        <v>0.75</v>
      </c>
      <c r="Q741" s="15">
        <f>O741*$S$4</f>
        <v>1</v>
      </c>
    </row>
    <row r="742" spans="1:17">
      <c r="A742" s="2">
        <v>901</v>
      </c>
      <c r="B742" s="4">
        <f>DAY(G742)</f>
        <v>10</v>
      </c>
      <c r="C742" s="4">
        <f>MONTH(G742)</f>
        <v>4</v>
      </c>
      <c r="D742" s="4">
        <f>YEAR(G742)</f>
        <v>2023</v>
      </c>
      <c r="E742" s="4" t="str">
        <f>TEXT(G742,"dddd")</f>
        <v>Monday</v>
      </c>
      <c r="F742" s="4" t="str">
        <f>TEXT(G742,"mmm")</f>
        <v>Apr</v>
      </c>
      <c r="G742" s="3">
        <v>45026</v>
      </c>
      <c r="H742" s="4" t="s">
        <v>775</v>
      </c>
      <c r="I742" s="4" t="s">
        <v>24</v>
      </c>
      <c r="J742" s="4" t="str" cm="1">
        <f t="array" ref="J742">_xlfn.IFS(K742&lt;30,"Young Adult",K742&lt;=50,"Adult",K742&gt;50,"Senior")</f>
        <v>Adult</v>
      </c>
      <c r="K742" s="4">
        <v>31</v>
      </c>
      <c r="L742" s="4" t="s">
        <v>9</v>
      </c>
      <c r="M742" s="4">
        <v>1</v>
      </c>
      <c r="N742" s="19">
        <v>30</v>
      </c>
      <c r="O742" s="15">
        <f>M742 * N742</f>
        <v>30</v>
      </c>
      <c r="P742" s="15">
        <f>O742*$S$3</f>
        <v>0.44999999999999996</v>
      </c>
      <c r="Q742" s="15">
        <f>O742*$S$4</f>
        <v>0.6</v>
      </c>
    </row>
    <row r="743" spans="1:17">
      <c r="A743" s="2">
        <v>601</v>
      </c>
      <c r="B743" s="4">
        <f>DAY(G743)</f>
        <v>10</v>
      </c>
      <c r="C743" s="4">
        <f>MONTH(G743)</f>
        <v>4</v>
      </c>
      <c r="D743" s="4">
        <f>YEAR(G743)</f>
        <v>2023</v>
      </c>
      <c r="E743" s="4" t="str">
        <f>TEXT(G743,"dddd")</f>
        <v>Monday</v>
      </c>
      <c r="F743" s="4" t="str">
        <f>TEXT(G743,"mmm")</f>
        <v>Apr</v>
      </c>
      <c r="G743" s="3">
        <v>45026</v>
      </c>
      <c r="H743" s="4" t="s">
        <v>776</v>
      </c>
      <c r="I743" s="4" t="s">
        <v>24</v>
      </c>
      <c r="J743" s="4" t="str" cm="1">
        <f t="array" ref="J743">_xlfn.IFS(K743&lt;30,"Young Adult",K743&lt;=50,"Adult",K743&gt;50,"Senior")</f>
        <v>Young Adult</v>
      </c>
      <c r="K743" s="4">
        <v>19</v>
      </c>
      <c r="L743" s="4" t="s">
        <v>8</v>
      </c>
      <c r="M743" s="4">
        <v>1</v>
      </c>
      <c r="N743" s="19">
        <v>30</v>
      </c>
      <c r="O743" s="15">
        <f>M743 * N743</f>
        <v>30</v>
      </c>
      <c r="P743" s="15">
        <f>O743*$S$3</f>
        <v>0.44999999999999996</v>
      </c>
      <c r="Q743" s="15">
        <f>O743*$S$4</f>
        <v>0.6</v>
      </c>
    </row>
    <row r="744" spans="1:17">
      <c r="A744" s="2">
        <v>548</v>
      </c>
      <c r="B744" s="4">
        <f>DAY(G744)</f>
        <v>9</v>
      </c>
      <c r="C744" s="4">
        <f>MONTH(G744)</f>
        <v>4</v>
      </c>
      <c r="D744" s="4">
        <f>YEAR(G744)</f>
        <v>2023</v>
      </c>
      <c r="E744" s="4" t="str">
        <f>TEXT(G744,"dddd")</f>
        <v>Sunday</v>
      </c>
      <c r="F744" s="4" t="str">
        <f>TEXT(G744,"mmm")</f>
        <v>Apr</v>
      </c>
      <c r="G744" s="3">
        <v>45025</v>
      </c>
      <c r="H744" s="4" t="s">
        <v>777</v>
      </c>
      <c r="I744" s="4" t="s">
        <v>29</v>
      </c>
      <c r="J744" s="4" t="str" cm="1">
        <f t="array" ref="J744">_xlfn.IFS(K744&lt;30,"Young Adult",K744&lt;=50,"Adult",K744&gt;50,"Senior")</f>
        <v>Senior</v>
      </c>
      <c r="K744" s="4">
        <v>51</v>
      </c>
      <c r="L744" s="4" t="s">
        <v>8</v>
      </c>
      <c r="M744" s="4">
        <v>2</v>
      </c>
      <c r="N744" s="19">
        <v>30</v>
      </c>
      <c r="O744" s="15">
        <f>M744 * N744</f>
        <v>60</v>
      </c>
      <c r="P744" s="15">
        <f>O744*$S$3</f>
        <v>0.89999999999999991</v>
      </c>
      <c r="Q744" s="15">
        <f>O744*$S$4</f>
        <v>1.2</v>
      </c>
    </row>
    <row r="745" spans="1:17">
      <c r="A745" s="2">
        <v>886</v>
      </c>
      <c r="B745" s="4">
        <f>DAY(G745)</f>
        <v>9</v>
      </c>
      <c r="C745" s="4">
        <f>MONTH(G745)</f>
        <v>4</v>
      </c>
      <c r="D745" s="4">
        <f>YEAR(G745)</f>
        <v>2023</v>
      </c>
      <c r="E745" s="4" t="str">
        <f>TEXT(G745,"dddd")</f>
        <v>Sunday</v>
      </c>
      <c r="F745" s="4" t="str">
        <f>TEXT(G745,"mmm")</f>
        <v>Apr</v>
      </c>
      <c r="G745" s="3">
        <v>45025</v>
      </c>
      <c r="H745" s="4" t="s">
        <v>778</v>
      </c>
      <c r="I745" s="4" t="s">
        <v>24</v>
      </c>
      <c r="J745" s="4" t="str" cm="1">
        <f t="array" ref="J745">_xlfn.IFS(K745&lt;30,"Young Adult",K745&lt;=50,"Adult",K745&gt;50,"Senior")</f>
        <v>Adult</v>
      </c>
      <c r="K745" s="4">
        <v>37</v>
      </c>
      <c r="L745" s="4" t="s">
        <v>9</v>
      </c>
      <c r="M745" s="4">
        <v>3</v>
      </c>
      <c r="N745" s="19">
        <v>300</v>
      </c>
      <c r="O745" s="15">
        <f>M745 * N745</f>
        <v>900</v>
      </c>
      <c r="P745" s="15">
        <f>O745*$S$3</f>
        <v>13.5</v>
      </c>
      <c r="Q745" s="15">
        <f>O745*$S$4</f>
        <v>18</v>
      </c>
    </row>
    <row r="746" spans="1:17">
      <c r="A746" s="2">
        <v>486</v>
      </c>
      <c r="B746" s="4">
        <f>DAY(G746)</f>
        <v>9</v>
      </c>
      <c r="C746" s="4">
        <f>MONTH(G746)</f>
        <v>4</v>
      </c>
      <c r="D746" s="4">
        <f>YEAR(G746)</f>
        <v>2023</v>
      </c>
      <c r="E746" s="4" t="str">
        <f>TEXT(G746,"dddd")</f>
        <v>Sunday</v>
      </c>
      <c r="F746" s="4" t="str">
        <f>TEXT(G746,"mmm")</f>
        <v>Apr</v>
      </c>
      <c r="G746" s="3">
        <v>45025</v>
      </c>
      <c r="H746" s="4" t="s">
        <v>779</v>
      </c>
      <c r="I746" s="4" t="s">
        <v>29</v>
      </c>
      <c r="J746" s="4" t="str" cm="1">
        <f t="array" ref="J746">_xlfn.IFS(K746&lt;30,"Young Adult",K746&lt;=50,"Adult",K746&gt;50,"Senior")</f>
        <v>Adult</v>
      </c>
      <c r="K746" s="4">
        <v>35</v>
      </c>
      <c r="L746" s="4" t="s">
        <v>9</v>
      </c>
      <c r="M746" s="4">
        <v>1</v>
      </c>
      <c r="N746" s="19">
        <v>25</v>
      </c>
      <c r="O746" s="15">
        <f>M746 * N746</f>
        <v>25</v>
      </c>
      <c r="P746" s="15">
        <f>O746*$S$3</f>
        <v>0.375</v>
      </c>
      <c r="Q746" s="15">
        <f>O746*$S$4</f>
        <v>0.5</v>
      </c>
    </row>
    <row r="747" spans="1:17">
      <c r="A747" s="2">
        <v>274</v>
      </c>
      <c r="B747" s="4">
        <f>DAY(G747)</f>
        <v>9</v>
      </c>
      <c r="C747" s="4">
        <f>MONTH(G747)</f>
        <v>4</v>
      </c>
      <c r="D747" s="4">
        <f>YEAR(G747)</f>
        <v>2023</v>
      </c>
      <c r="E747" s="4" t="str">
        <f>TEXT(G747,"dddd")</f>
        <v>Sunday</v>
      </c>
      <c r="F747" s="4" t="str">
        <f>TEXT(G747,"mmm")</f>
        <v>Apr</v>
      </c>
      <c r="G747" s="3">
        <v>45025</v>
      </c>
      <c r="H747" s="4" t="s">
        <v>780</v>
      </c>
      <c r="I747" s="4" t="s">
        <v>29</v>
      </c>
      <c r="J747" s="4" t="str" cm="1">
        <f t="array" ref="J747">_xlfn.IFS(K747&lt;30,"Young Adult",K747&lt;=50,"Adult",K747&gt;50,"Senior")</f>
        <v>Young Adult</v>
      </c>
      <c r="K747" s="4">
        <v>23</v>
      </c>
      <c r="L747" s="4" t="s">
        <v>8</v>
      </c>
      <c r="M747" s="4">
        <v>2</v>
      </c>
      <c r="N747" s="19">
        <v>500</v>
      </c>
      <c r="O747" s="15">
        <f>M747 * N747</f>
        <v>1000</v>
      </c>
      <c r="P747" s="15">
        <f>O747*$S$3</f>
        <v>15</v>
      </c>
      <c r="Q747" s="15">
        <f>O747*$S$4</f>
        <v>20</v>
      </c>
    </row>
    <row r="748" spans="1:17">
      <c r="A748" s="2">
        <v>61</v>
      </c>
      <c r="B748" s="4">
        <f>DAY(G748)</f>
        <v>9</v>
      </c>
      <c r="C748" s="4">
        <f>MONTH(G748)</f>
        <v>4</v>
      </c>
      <c r="D748" s="4">
        <f>YEAR(G748)</f>
        <v>2023</v>
      </c>
      <c r="E748" s="4" t="str">
        <f>TEXT(G748,"dddd")</f>
        <v>Sunday</v>
      </c>
      <c r="F748" s="4" t="str">
        <f>TEXT(G748,"mmm")</f>
        <v>Apr</v>
      </c>
      <c r="G748" s="3">
        <v>45025</v>
      </c>
      <c r="H748" s="4" t="s">
        <v>781</v>
      </c>
      <c r="I748" s="4" t="s">
        <v>24</v>
      </c>
      <c r="J748" s="4" t="str" cm="1">
        <f t="array" ref="J748">_xlfn.IFS(K748&lt;30,"Young Adult",K748&lt;=50,"Adult",K748&gt;50,"Senior")</f>
        <v>Young Adult</v>
      </c>
      <c r="K748" s="4">
        <v>21</v>
      </c>
      <c r="L748" s="4" t="s">
        <v>7</v>
      </c>
      <c r="M748" s="4">
        <v>4</v>
      </c>
      <c r="N748" s="19">
        <v>50</v>
      </c>
      <c r="O748" s="15">
        <f>M748 * N748</f>
        <v>200</v>
      </c>
      <c r="P748" s="15">
        <f>O748*$S$3</f>
        <v>3</v>
      </c>
      <c r="Q748" s="15">
        <f>O748*$S$4</f>
        <v>4</v>
      </c>
    </row>
    <row r="749" spans="1:17">
      <c r="A749" s="2">
        <v>892</v>
      </c>
      <c r="B749" s="4">
        <f>DAY(G749)</f>
        <v>9</v>
      </c>
      <c r="C749" s="4">
        <f>MONTH(G749)</f>
        <v>4</v>
      </c>
      <c r="D749" s="4">
        <f>YEAR(G749)</f>
        <v>2023</v>
      </c>
      <c r="E749" s="4" t="str">
        <f>TEXT(G749,"dddd")</f>
        <v>Sunday</v>
      </c>
      <c r="F749" s="4" t="str">
        <f>TEXT(G749,"mmm")</f>
        <v>Apr</v>
      </c>
      <c r="G749" s="3">
        <v>45025</v>
      </c>
      <c r="H749" s="4" t="s">
        <v>782</v>
      </c>
      <c r="I749" s="4" t="s">
        <v>24</v>
      </c>
      <c r="J749" s="4" t="str" cm="1">
        <f t="array" ref="J749">_xlfn.IFS(K749&lt;30,"Young Adult",K749&lt;=50,"Adult",K749&gt;50,"Senior")</f>
        <v>Young Adult</v>
      </c>
      <c r="K749" s="4">
        <v>20</v>
      </c>
      <c r="L749" s="4" t="s">
        <v>9</v>
      </c>
      <c r="M749" s="4">
        <v>1</v>
      </c>
      <c r="N749" s="19">
        <v>50</v>
      </c>
      <c r="O749" s="15">
        <f>M749 * N749</f>
        <v>50</v>
      </c>
      <c r="P749" s="15">
        <f>O749*$S$3</f>
        <v>0.75</v>
      </c>
      <c r="Q749" s="15">
        <f>O749*$S$4</f>
        <v>1</v>
      </c>
    </row>
    <row r="750" spans="1:17">
      <c r="A750" s="2">
        <v>314</v>
      </c>
      <c r="B750" s="4">
        <f>DAY(G750)</f>
        <v>8</v>
      </c>
      <c r="C750" s="4">
        <f>MONTH(G750)</f>
        <v>4</v>
      </c>
      <c r="D750" s="4">
        <f>YEAR(G750)</f>
        <v>2023</v>
      </c>
      <c r="E750" s="4" t="str">
        <f>TEXT(G750,"dddd")</f>
        <v>Saturday</v>
      </c>
      <c r="F750" s="4" t="str">
        <f>TEXT(G750,"mmm")</f>
        <v>Apr</v>
      </c>
      <c r="G750" s="3">
        <v>45024</v>
      </c>
      <c r="H750" s="4" t="s">
        <v>783</v>
      </c>
      <c r="I750" s="4" t="s">
        <v>24</v>
      </c>
      <c r="J750" s="4" t="str" cm="1">
        <f t="array" ref="J750">_xlfn.IFS(K750&lt;30,"Young Adult",K750&lt;=50,"Adult",K750&gt;50,"Senior")</f>
        <v>Senior</v>
      </c>
      <c r="K750" s="4">
        <v>52</v>
      </c>
      <c r="L750" s="4" t="s">
        <v>8</v>
      </c>
      <c r="M750" s="4">
        <v>4</v>
      </c>
      <c r="N750" s="19">
        <v>30</v>
      </c>
      <c r="O750" s="15">
        <f>M750 * N750</f>
        <v>120</v>
      </c>
      <c r="P750" s="15">
        <f>O750*$S$3</f>
        <v>1.7999999999999998</v>
      </c>
      <c r="Q750" s="15">
        <f>O750*$S$4</f>
        <v>2.4</v>
      </c>
    </row>
    <row r="751" spans="1:17">
      <c r="A751" s="2">
        <v>255</v>
      </c>
      <c r="B751" s="4">
        <f>DAY(G751)</f>
        <v>8</v>
      </c>
      <c r="C751" s="4">
        <f>MONTH(G751)</f>
        <v>4</v>
      </c>
      <c r="D751" s="4">
        <f>YEAR(G751)</f>
        <v>2023</v>
      </c>
      <c r="E751" s="4" t="str">
        <f>TEXT(G751,"dddd")</f>
        <v>Saturday</v>
      </c>
      <c r="F751" s="4" t="str">
        <f>TEXT(G751,"mmm")</f>
        <v>Apr</v>
      </c>
      <c r="G751" s="3">
        <v>45024</v>
      </c>
      <c r="H751" s="4" t="s">
        <v>784</v>
      </c>
      <c r="I751" s="4" t="s">
        <v>24</v>
      </c>
      <c r="J751" s="4" t="str" cm="1">
        <f t="array" ref="J751">_xlfn.IFS(K751&lt;30,"Young Adult",K751&lt;=50,"Adult",K751&gt;50,"Senior")</f>
        <v>Adult</v>
      </c>
      <c r="K751" s="4">
        <v>48</v>
      </c>
      <c r="L751" s="4" t="s">
        <v>8</v>
      </c>
      <c r="M751" s="4">
        <v>1</v>
      </c>
      <c r="N751" s="19">
        <v>30</v>
      </c>
      <c r="O751" s="15">
        <f>M751 * N751</f>
        <v>30</v>
      </c>
      <c r="P751" s="15">
        <f>O751*$S$3</f>
        <v>0.44999999999999996</v>
      </c>
      <c r="Q751" s="15">
        <f>O751*$S$4</f>
        <v>0.6</v>
      </c>
    </row>
    <row r="752" spans="1:17">
      <c r="A752" s="2">
        <v>517</v>
      </c>
      <c r="B752" s="4">
        <f>DAY(G752)</f>
        <v>8</v>
      </c>
      <c r="C752" s="4">
        <f>MONTH(G752)</f>
        <v>4</v>
      </c>
      <c r="D752" s="4">
        <f>YEAR(G752)</f>
        <v>2023</v>
      </c>
      <c r="E752" s="4" t="str">
        <f>TEXT(G752,"dddd")</f>
        <v>Saturday</v>
      </c>
      <c r="F752" s="4" t="str">
        <f>TEXT(G752,"mmm")</f>
        <v>Apr</v>
      </c>
      <c r="G752" s="3">
        <v>45024</v>
      </c>
      <c r="H752" s="4" t="s">
        <v>785</v>
      </c>
      <c r="I752" s="4" t="s">
        <v>29</v>
      </c>
      <c r="J752" s="4" t="str" cm="1">
        <f t="array" ref="J752">_xlfn.IFS(K752&lt;30,"Young Adult",K752&lt;=50,"Adult",K752&gt;50,"Senior")</f>
        <v>Adult</v>
      </c>
      <c r="K752" s="4">
        <v>47</v>
      </c>
      <c r="L752" s="4" t="s">
        <v>8</v>
      </c>
      <c r="M752" s="4">
        <v>4</v>
      </c>
      <c r="N752" s="19">
        <v>25</v>
      </c>
      <c r="O752" s="15">
        <f>M752 * N752</f>
        <v>100</v>
      </c>
      <c r="P752" s="15">
        <f>O752*$S$3</f>
        <v>1.5</v>
      </c>
      <c r="Q752" s="15">
        <f>O752*$S$4</f>
        <v>2</v>
      </c>
    </row>
    <row r="753" spans="1:17">
      <c r="A753" s="2">
        <v>275</v>
      </c>
      <c r="B753" s="4">
        <f>DAY(G753)</f>
        <v>8</v>
      </c>
      <c r="C753" s="4">
        <f>MONTH(G753)</f>
        <v>4</v>
      </c>
      <c r="D753" s="4">
        <f>YEAR(G753)</f>
        <v>2023</v>
      </c>
      <c r="E753" s="4" t="str">
        <f>TEXT(G753,"dddd")</f>
        <v>Saturday</v>
      </c>
      <c r="F753" s="4" t="str">
        <f>TEXT(G753,"mmm")</f>
        <v>Apr</v>
      </c>
      <c r="G753" s="3">
        <v>45024</v>
      </c>
      <c r="H753" s="4" t="s">
        <v>786</v>
      </c>
      <c r="I753" s="4" t="s">
        <v>24</v>
      </c>
      <c r="J753" s="4" t="str" cm="1">
        <f t="array" ref="J753">_xlfn.IFS(K753&lt;30,"Young Adult",K753&lt;=50,"Adult",K753&gt;50,"Senior")</f>
        <v>Adult</v>
      </c>
      <c r="K753" s="4">
        <v>43</v>
      </c>
      <c r="L753" s="4" t="s">
        <v>8</v>
      </c>
      <c r="M753" s="4">
        <v>2</v>
      </c>
      <c r="N753" s="19">
        <v>500</v>
      </c>
      <c r="O753" s="15">
        <f>M753 * N753</f>
        <v>1000</v>
      </c>
      <c r="P753" s="15">
        <f>O753*$S$3</f>
        <v>15</v>
      </c>
      <c r="Q753" s="15">
        <f>O753*$S$4</f>
        <v>20</v>
      </c>
    </row>
    <row r="754" spans="1:17">
      <c r="A754" s="2">
        <v>847</v>
      </c>
      <c r="B754" s="4">
        <f>DAY(G754)</f>
        <v>8</v>
      </c>
      <c r="C754" s="4">
        <f>MONTH(G754)</f>
        <v>4</v>
      </c>
      <c r="D754" s="4">
        <f>YEAR(G754)</f>
        <v>2023</v>
      </c>
      <c r="E754" s="4" t="str">
        <f>TEXT(G754,"dddd")</f>
        <v>Saturday</v>
      </c>
      <c r="F754" s="4" t="str">
        <f>TEXT(G754,"mmm")</f>
        <v>Apr</v>
      </c>
      <c r="G754" s="3">
        <v>45024</v>
      </c>
      <c r="H754" s="4" t="s">
        <v>787</v>
      </c>
      <c r="I754" s="4" t="s">
        <v>29</v>
      </c>
      <c r="J754" s="4" t="str" cm="1">
        <f t="array" ref="J754">_xlfn.IFS(K754&lt;30,"Young Adult",K754&lt;=50,"Adult",K754&gt;50,"Senior")</f>
        <v>Young Adult</v>
      </c>
      <c r="K754" s="4">
        <v>18</v>
      </c>
      <c r="L754" s="4" t="s">
        <v>9</v>
      </c>
      <c r="M754" s="4">
        <v>4</v>
      </c>
      <c r="N754" s="19">
        <v>300</v>
      </c>
      <c r="O754" s="15">
        <f>M754 * N754</f>
        <v>1200</v>
      </c>
      <c r="P754" s="15">
        <f>O754*$S$3</f>
        <v>18</v>
      </c>
      <c r="Q754" s="15">
        <f>O754*$S$4</f>
        <v>24</v>
      </c>
    </row>
    <row r="755" spans="1:17">
      <c r="A755" s="2">
        <v>332</v>
      </c>
      <c r="B755" s="4">
        <f>DAY(G755)</f>
        <v>6</v>
      </c>
      <c r="C755" s="4">
        <f>MONTH(G755)</f>
        <v>4</v>
      </c>
      <c r="D755" s="4">
        <f>YEAR(G755)</f>
        <v>2023</v>
      </c>
      <c r="E755" s="4" t="str">
        <f>TEXT(G755,"dddd")</f>
        <v>Thursday</v>
      </c>
      <c r="F755" s="4" t="str">
        <f>TEXT(G755,"mmm")</f>
        <v>Apr</v>
      </c>
      <c r="G755" s="3">
        <v>45022</v>
      </c>
      <c r="H755" s="4" t="s">
        <v>788</v>
      </c>
      <c r="I755" s="4" t="s">
        <v>24</v>
      </c>
      <c r="J755" s="4" t="str" cm="1">
        <f t="array" ref="J755">_xlfn.IFS(K755&lt;30,"Young Adult",K755&lt;=50,"Adult",K755&gt;50,"Senior")</f>
        <v>Senior</v>
      </c>
      <c r="K755" s="4">
        <v>58</v>
      </c>
      <c r="L755" s="4" t="s">
        <v>9</v>
      </c>
      <c r="M755" s="4">
        <v>4</v>
      </c>
      <c r="N755" s="19">
        <v>300</v>
      </c>
      <c r="O755" s="15">
        <f>M755 * N755</f>
        <v>1200</v>
      </c>
      <c r="P755" s="15">
        <f>O755*$S$3</f>
        <v>18</v>
      </c>
      <c r="Q755" s="15">
        <f>O755*$S$4</f>
        <v>24</v>
      </c>
    </row>
    <row r="756" spans="1:17">
      <c r="A756" s="2">
        <v>891</v>
      </c>
      <c r="B756" s="4">
        <f>DAY(G756)</f>
        <v>5</v>
      </c>
      <c r="C756" s="4">
        <f>MONTH(G756)</f>
        <v>4</v>
      </c>
      <c r="D756" s="4">
        <f>YEAR(G756)</f>
        <v>2023</v>
      </c>
      <c r="E756" s="4" t="str">
        <f>TEXT(G756,"dddd")</f>
        <v>Wednesday</v>
      </c>
      <c r="F756" s="4" t="str">
        <f>TEXT(G756,"mmm")</f>
        <v>Apr</v>
      </c>
      <c r="G756" s="3">
        <v>45021</v>
      </c>
      <c r="H756" s="4" t="s">
        <v>789</v>
      </c>
      <c r="I756" s="4" t="s">
        <v>24</v>
      </c>
      <c r="J756" s="4" t="str" cm="1">
        <f t="array" ref="J756">_xlfn.IFS(K756&lt;30,"Young Adult",K756&lt;=50,"Adult",K756&gt;50,"Senior")</f>
        <v>Adult</v>
      </c>
      <c r="K756" s="4">
        <v>41</v>
      </c>
      <c r="L756" s="4" t="s">
        <v>9</v>
      </c>
      <c r="M756" s="4">
        <v>3</v>
      </c>
      <c r="N756" s="19">
        <v>300</v>
      </c>
      <c r="O756" s="15">
        <f>M756 * N756</f>
        <v>900</v>
      </c>
      <c r="P756" s="15">
        <f>O756*$S$3</f>
        <v>13.5</v>
      </c>
      <c r="Q756" s="15">
        <f>O756*$S$4</f>
        <v>18</v>
      </c>
    </row>
    <row r="757" spans="1:17">
      <c r="A757" s="2">
        <v>928</v>
      </c>
      <c r="B757" s="4">
        <f>DAY(G757)</f>
        <v>5</v>
      </c>
      <c r="C757" s="4">
        <f>MONTH(G757)</f>
        <v>4</v>
      </c>
      <c r="D757" s="4">
        <f>YEAR(G757)</f>
        <v>2023</v>
      </c>
      <c r="E757" s="4" t="str">
        <f>TEXT(G757,"dddd")</f>
        <v>Wednesday</v>
      </c>
      <c r="F757" s="4" t="str">
        <f>TEXT(G757,"mmm")</f>
        <v>Apr</v>
      </c>
      <c r="G757" s="3">
        <v>45021</v>
      </c>
      <c r="H757" s="4" t="s">
        <v>790</v>
      </c>
      <c r="I757" s="4" t="s">
        <v>29</v>
      </c>
      <c r="J757" s="4" t="str" cm="1">
        <f t="array" ref="J757">_xlfn.IFS(K757&lt;30,"Young Adult",K757&lt;=50,"Adult",K757&gt;50,"Senior")</f>
        <v>Adult</v>
      </c>
      <c r="K757" s="4">
        <v>35</v>
      </c>
      <c r="L757" s="4" t="s">
        <v>8</v>
      </c>
      <c r="M757" s="4">
        <v>4</v>
      </c>
      <c r="N757" s="19">
        <v>300</v>
      </c>
      <c r="O757" s="15">
        <f>M757 * N757</f>
        <v>1200</v>
      </c>
      <c r="P757" s="15">
        <f>O757*$S$3</f>
        <v>18</v>
      </c>
      <c r="Q757" s="15">
        <f>O757*$S$4</f>
        <v>24</v>
      </c>
    </row>
    <row r="758" spans="1:17">
      <c r="A758" s="2">
        <v>834</v>
      </c>
      <c r="B758" s="4">
        <f>DAY(G758)</f>
        <v>4</v>
      </c>
      <c r="C758" s="4">
        <f>MONTH(G758)</f>
        <v>4</v>
      </c>
      <c r="D758" s="4">
        <f>YEAR(G758)</f>
        <v>2023</v>
      </c>
      <c r="E758" s="4" t="str">
        <f>TEXT(G758,"dddd")</f>
        <v>Tuesday</v>
      </c>
      <c r="F758" s="4" t="str">
        <f>TEXT(G758,"mmm")</f>
        <v>Apr</v>
      </c>
      <c r="G758" s="3">
        <v>45020</v>
      </c>
      <c r="H758" s="4" t="s">
        <v>791</v>
      </c>
      <c r="I758" s="4" t="s">
        <v>29</v>
      </c>
      <c r="J758" s="4" t="str" cm="1">
        <f t="array" ref="J758">_xlfn.IFS(K758&lt;30,"Young Adult",K758&lt;=50,"Adult",K758&gt;50,"Senior")</f>
        <v>Senior</v>
      </c>
      <c r="K758" s="4">
        <v>56</v>
      </c>
      <c r="L758" s="4" t="s">
        <v>7</v>
      </c>
      <c r="M758" s="4">
        <v>2</v>
      </c>
      <c r="N758" s="19">
        <v>30</v>
      </c>
      <c r="O758" s="15">
        <f>M758 * N758</f>
        <v>60</v>
      </c>
      <c r="P758" s="15">
        <f>O758*$S$3</f>
        <v>0.89999999999999991</v>
      </c>
      <c r="Q758" s="15">
        <f>O758*$S$4</f>
        <v>1.2</v>
      </c>
    </row>
    <row r="759" spans="1:17">
      <c r="A759" s="2">
        <v>719</v>
      </c>
      <c r="B759" s="4">
        <f>DAY(G759)</f>
        <v>4</v>
      </c>
      <c r="C759" s="4">
        <f>MONTH(G759)</f>
        <v>4</v>
      </c>
      <c r="D759" s="4">
        <f>YEAR(G759)</f>
        <v>2023</v>
      </c>
      <c r="E759" s="4" t="str">
        <f>TEXT(G759,"dddd")</f>
        <v>Tuesday</v>
      </c>
      <c r="F759" s="4" t="str">
        <f>TEXT(G759,"mmm")</f>
        <v>Apr</v>
      </c>
      <c r="G759" s="3">
        <v>45020</v>
      </c>
      <c r="H759" s="4" t="s">
        <v>792</v>
      </c>
      <c r="I759" s="4" t="s">
        <v>29</v>
      </c>
      <c r="J759" s="4" t="str" cm="1">
        <f t="array" ref="J759">_xlfn.IFS(K759&lt;30,"Young Adult",K759&lt;=50,"Adult",K759&gt;50,"Senior")</f>
        <v>Adult</v>
      </c>
      <c r="K759" s="4">
        <v>42</v>
      </c>
      <c r="L759" s="4" t="s">
        <v>8</v>
      </c>
      <c r="M759" s="4">
        <v>2</v>
      </c>
      <c r="N759" s="19">
        <v>30</v>
      </c>
      <c r="O759" s="15">
        <f>M759 * N759</f>
        <v>60</v>
      </c>
      <c r="P759" s="15">
        <f>O759*$S$3</f>
        <v>0.89999999999999991</v>
      </c>
      <c r="Q759" s="15">
        <f>O759*$S$4</f>
        <v>1.2</v>
      </c>
    </row>
    <row r="760" spans="1:17">
      <c r="A760" s="2">
        <v>280</v>
      </c>
      <c r="B760" s="4">
        <f>DAY(G760)</f>
        <v>4</v>
      </c>
      <c r="C760" s="4">
        <f>MONTH(G760)</f>
        <v>4</v>
      </c>
      <c r="D760" s="4">
        <f>YEAR(G760)</f>
        <v>2023</v>
      </c>
      <c r="E760" s="4" t="str">
        <f>TEXT(G760,"dddd")</f>
        <v>Tuesday</v>
      </c>
      <c r="F760" s="4" t="str">
        <f>TEXT(G760,"mmm")</f>
        <v>Apr</v>
      </c>
      <c r="G760" s="3">
        <v>45020</v>
      </c>
      <c r="H760" s="4" t="s">
        <v>793</v>
      </c>
      <c r="I760" s="4" t="s">
        <v>29</v>
      </c>
      <c r="J760" s="4" t="str" cm="1">
        <f t="array" ref="J760">_xlfn.IFS(K760&lt;30,"Young Adult",K760&lt;=50,"Adult",K760&gt;50,"Senior")</f>
        <v>Adult</v>
      </c>
      <c r="K760" s="4">
        <v>37</v>
      </c>
      <c r="L760" s="4" t="s">
        <v>8</v>
      </c>
      <c r="M760" s="4">
        <v>3</v>
      </c>
      <c r="N760" s="19">
        <v>500</v>
      </c>
      <c r="O760" s="15">
        <f>M760 * N760</f>
        <v>1500</v>
      </c>
      <c r="P760" s="15">
        <f>O760*$S$3</f>
        <v>22.5</v>
      </c>
      <c r="Q760" s="15">
        <f>O760*$S$4</f>
        <v>30</v>
      </c>
    </row>
    <row r="761" spans="1:17">
      <c r="A761" s="2">
        <v>905</v>
      </c>
      <c r="B761" s="4">
        <f>DAY(G761)</f>
        <v>2</v>
      </c>
      <c r="C761" s="4">
        <f>MONTH(G761)</f>
        <v>4</v>
      </c>
      <c r="D761" s="4">
        <f>YEAR(G761)</f>
        <v>2023</v>
      </c>
      <c r="E761" s="4" t="str">
        <f>TEXT(G761,"dddd")</f>
        <v>Sunday</v>
      </c>
      <c r="F761" s="4" t="str">
        <f>TEXT(G761,"mmm")</f>
        <v>Apr</v>
      </c>
      <c r="G761" s="3">
        <v>45018</v>
      </c>
      <c r="H761" s="4" t="s">
        <v>794</v>
      </c>
      <c r="I761" s="4" t="s">
        <v>24</v>
      </c>
      <c r="J761" s="4" t="str" cm="1">
        <f t="array" ref="J761">_xlfn.IFS(K761&lt;30,"Young Adult",K761&lt;=50,"Adult",K761&gt;50,"Senior")</f>
        <v>Senior</v>
      </c>
      <c r="K761" s="4">
        <v>58</v>
      </c>
      <c r="L761" s="4" t="s">
        <v>7</v>
      </c>
      <c r="M761" s="4">
        <v>1</v>
      </c>
      <c r="N761" s="19">
        <v>300</v>
      </c>
      <c r="O761" s="15">
        <f>M761 * N761</f>
        <v>300</v>
      </c>
      <c r="P761" s="15">
        <f>O761*$S$3</f>
        <v>4.5</v>
      </c>
      <c r="Q761" s="15">
        <f>O761*$S$4</f>
        <v>6</v>
      </c>
    </row>
    <row r="762" spans="1:17">
      <c r="A762" s="2">
        <v>465</v>
      </c>
      <c r="B762" s="4">
        <f>DAY(G762)</f>
        <v>2</v>
      </c>
      <c r="C762" s="4">
        <f>MONTH(G762)</f>
        <v>4</v>
      </c>
      <c r="D762" s="4">
        <f>YEAR(G762)</f>
        <v>2023</v>
      </c>
      <c r="E762" s="4" t="str">
        <f>TEXT(G762,"dddd")</f>
        <v>Sunday</v>
      </c>
      <c r="F762" s="4" t="str">
        <f>TEXT(G762,"mmm")</f>
        <v>Apr</v>
      </c>
      <c r="G762" s="3">
        <v>45018</v>
      </c>
      <c r="H762" s="4" t="s">
        <v>795</v>
      </c>
      <c r="I762" s="4" t="s">
        <v>29</v>
      </c>
      <c r="J762" s="4" t="str" cm="1">
        <f t="array" ref="J762">_xlfn.IFS(K762&lt;30,"Young Adult",K762&lt;=50,"Adult",K762&gt;50,"Senior")</f>
        <v>Adult</v>
      </c>
      <c r="K762" s="4">
        <v>43</v>
      </c>
      <c r="L762" s="4" t="s">
        <v>9</v>
      </c>
      <c r="M762" s="4">
        <v>3</v>
      </c>
      <c r="N762" s="19">
        <v>50</v>
      </c>
      <c r="O762" s="15">
        <f>M762 * N762</f>
        <v>150</v>
      </c>
      <c r="P762" s="15">
        <f>O762*$S$3</f>
        <v>2.25</v>
      </c>
      <c r="Q762" s="15">
        <f>O762*$S$4</f>
        <v>3</v>
      </c>
    </row>
    <row r="763" spans="1:17">
      <c r="A763" s="2">
        <v>502</v>
      </c>
      <c r="B763" s="4">
        <f>DAY(G763)</f>
        <v>2</v>
      </c>
      <c r="C763" s="4">
        <f>MONTH(G763)</f>
        <v>4</v>
      </c>
      <c r="D763" s="4">
        <f>YEAR(G763)</f>
        <v>2023</v>
      </c>
      <c r="E763" s="4" t="str">
        <f>TEXT(G763,"dddd")</f>
        <v>Sunday</v>
      </c>
      <c r="F763" s="4" t="str">
        <f>TEXT(G763,"mmm")</f>
        <v>Apr</v>
      </c>
      <c r="G763" s="3">
        <v>45018</v>
      </c>
      <c r="H763" s="4" t="s">
        <v>796</v>
      </c>
      <c r="I763" s="4" t="s">
        <v>24</v>
      </c>
      <c r="J763" s="4" t="str" cm="1">
        <f t="array" ref="J763">_xlfn.IFS(K763&lt;30,"Young Adult",K763&lt;=50,"Adult",K763&gt;50,"Senior")</f>
        <v>Adult</v>
      </c>
      <c r="K763" s="4">
        <v>43</v>
      </c>
      <c r="L763" s="4" t="s">
        <v>9</v>
      </c>
      <c r="M763" s="4">
        <v>3</v>
      </c>
      <c r="N763" s="19">
        <v>50</v>
      </c>
      <c r="O763" s="15">
        <f>M763 * N763</f>
        <v>150</v>
      </c>
      <c r="P763" s="15">
        <f>O763*$S$3</f>
        <v>2.25</v>
      </c>
      <c r="Q763" s="15">
        <f>O763*$S$4</f>
        <v>3</v>
      </c>
    </row>
    <row r="764" spans="1:17">
      <c r="A764" s="2">
        <v>166</v>
      </c>
      <c r="B764" s="4">
        <f>DAY(G764)</f>
        <v>2</v>
      </c>
      <c r="C764" s="4">
        <f>MONTH(G764)</f>
        <v>4</v>
      </c>
      <c r="D764" s="4">
        <f>YEAR(G764)</f>
        <v>2023</v>
      </c>
      <c r="E764" s="4" t="str">
        <f>TEXT(G764,"dddd")</f>
        <v>Sunday</v>
      </c>
      <c r="F764" s="4" t="str">
        <f>TEXT(G764,"mmm")</f>
        <v>Apr</v>
      </c>
      <c r="G764" s="3">
        <v>45018</v>
      </c>
      <c r="H764" s="4" t="s">
        <v>797</v>
      </c>
      <c r="I764" s="4" t="s">
        <v>24</v>
      </c>
      <c r="J764" s="4" t="str" cm="1">
        <f t="array" ref="J764">_xlfn.IFS(K764&lt;30,"Young Adult",K764&lt;=50,"Adult",K764&gt;50,"Senior")</f>
        <v>Adult</v>
      </c>
      <c r="K764" s="4">
        <v>34</v>
      </c>
      <c r="L764" s="4" t="s">
        <v>8</v>
      </c>
      <c r="M764" s="4">
        <v>4</v>
      </c>
      <c r="N764" s="19">
        <v>500</v>
      </c>
      <c r="O764" s="15">
        <f>M764 * N764</f>
        <v>2000</v>
      </c>
      <c r="P764" s="15">
        <f>O764*$S$3</f>
        <v>30</v>
      </c>
      <c r="Q764" s="15">
        <f>O764*$S$4</f>
        <v>40</v>
      </c>
    </row>
    <row r="765" spans="1:17">
      <c r="A765" s="2">
        <v>462</v>
      </c>
      <c r="B765" s="4">
        <f>DAY(G765)</f>
        <v>1</v>
      </c>
      <c r="C765" s="4">
        <f>MONTH(G765)</f>
        <v>4</v>
      </c>
      <c r="D765" s="4">
        <f>YEAR(G765)</f>
        <v>2023</v>
      </c>
      <c r="E765" s="4" t="str">
        <f>TEXT(G765,"dddd")</f>
        <v>Saturday</v>
      </c>
      <c r="F765" s="4" t="str">
        <f>TEXT(G765,"mmm")</f>
        <v>Apr</v>
      </c>
      <c r="G765" s="3">
        <v>45017</v>
      </c>
      <c r="H765" s="4" t="s">
        <v>798</v>
      </c>
      <c r="I765" s="4" t="s">
        <v>24</v>
      </c>
      <c r="J765" s="4" t="str" cm="1">
        <f t="array" ref="J765">_xlfn.IFS(K765&lt;30,"Young Adult",K765&lt;=50,"Adult",K765&gt;50,"Senior")</f>
        <v>Senior</v>
      </c>
      <c r="K765" s="4">
        <v>63</v>
      </c>
      <c r="L765" s="4" t="s">
        <v>9</v>
      </c>
      <c r="M765" s="4">
        <v>4</v>
      </c>
      <c r="N765" s="19">
        <v>300</v>
      </c>
      <c r="O765" s="15">
        <f>M765 * N765</f>
        <v>1200</v>
      </c>
      <c r="P765" s="15">
        <f>O765*$S$3</f>
        <v>18</v>
      </c>
      <c r="Q765" s="15">
        <f>O765*$S$4</f>
        <v>24</v>
      </c>
    </row>
    <row r="766" spans="1:17">
      <c r="A766" s="2">
        <v>614</v>
      </c>
      <c r="B766" s="4">
        <f>DAY(G766)</f>
        <v>1</v>
      </c>
      <c r="C766" s="4">
        <f>MONTH(G766)</f>
        <v>4</v>
      </c>
      <c r="D766" s="4">
        <f>YEAR(G766)</f>
        <v>2023</v>
      </c>
      <c r="E766" s="4" t="str">
        <f>TEXT(G766,"dddd")</f>
        <v>Saturday</v>
      </c>
      <c r="F766" s="4" t="str">
        <f>TEXT(G766,"mmm")</f>
        <v>Apr</v>
      </c>
      <c r="G766" s="3">
        <v>45017</v>
      </c>
      <c r="H766" s="4" t="s">
        <v>799</v>
      </c>
      <c r="I766" s="4" t="s">
        <v>29</v>
      </c>
      <c r="J766" s="4" t="str" cm="1">
        <f t="array" ref="J766">_xlfn.IFS(K766&lt;30,"Young Adult",K766&lt;=50,"Adult",K766&gt;50,"Senior")</f>
        <v>Adult</v>
      </c>
      <c r="K766" s="4">
        <v>39</v>
      </c>
      <c r="L766" s="4" t="s">
        <v>7</v>
      </c>
      <c r="M766" s="4">
        <v>4</v>
      </c>
      <c r="N766" s="19">
        <v>300</v>
      </c>
      <c r="O766" s="15">
        <f>M766 * N766</f>
        <v>1200</v>
      </c>
      <c r="P766" s="15">
        <f>O766*$S$3</f>
        <v>18</v>
      </c>
      <c r="Q766" s="15">
        <f>O766*$S$4</f>
        <v>24</v>
      </c>
    </row>
    <row r="767" spans="1:17">
      <c r="A767" s="2">
        <v>808</v>
      </c>
      <c r="B767" s="4">
        <f>DAY(G767)</f>
        <v>1</v>
      </c>
      <c r="C767" s="4">
        <f>MONTH(G767)</f>
        <v>4</v>
      </c>
      <c r="D767" s="4">
        <f>YEAR(G767)</f>
        <v>2023</v>
      </c>
      <c r="E767" s="4" t="str">
        <f>TEXT(G767,"dddd")</f>
        <v>Saturday</v>
      </c>
      <c r="F767" s="4" t="str">
        <f>TEXT(G767,"mmm")</f>
        <v>Apr</v>
      </c>
      <c r="G767" s="3">
        <v>45017</v>
      </c>
      <c r="H767" s="4" t="s">
        <v>800</v>
      </c>
      <c r="I767" s="4" t="s">
        <v>24</v>
      </c>
      <c r="J767" s="4" t="str" cm="1">
        <f t="array" ref="J767">_xlfn.IFS(K767&lt;30,"Young Adult",K767&lt;=50,"Adult",K767&gt;50,"Senior")</f>
        <v>Adult</v>
      </c>
      <c r="K767" s="4">
        <v>33</v>
      </c>
      <c r="L767" s="4" t="s">
        <v>7</v>
      </c>
      <c r="M767" s="4">
        <v>4</v>
      </c>
      <c r="N767" s="19">
        <v>500</v>
      </c>
      <c r="O767" s="15">
        <f>M767 * N767</f>
        <v>2000</v>
      </c>
      <c r="P767" s="15">
        <f>O767*$S$3</f>
        <v>30</v>
      </c>
      <c r="Q767" s="15">
        <f>O767*$S$4</f>
        <v>40</v>
      </c>
    </row>
    <row r="768" spans="1:17">
      <c r="A768" s="2">
        <v>553</v>
      </c>
      <c r="B768" s="4">
        <f>DAY(G768)</f>
        <v>31</v>
      </c>
      <c r="C768" s="4">
        <f>MONTH(G768)</f>
        <v>3</v>
      </c>
      <c r="D768" s="4">
        <f>YEAR(G768)</f>
        <v>2023</v>
      </c>
      <c r="E768" s="4" t="str">
        <f>TEXT(G768,"dddd")</f>
        <v>Friday</v>
      </c>
      <c r="F768" s="4" t="str">
        <f>TEXT(G768,"mmm")</f>
        <v>Mar</v>
      </c>
      <c r="G768" s="3">
        <v>45016</v>
      </c>
      <c r="H768" s="4" t="s">
        <v>801</v>
      </c>
      <c r="I768" s="4" t="s">
        <v>24</v>
      </c>
      <c r="J768" s="4" t="str" cm="1">
        <f t="array" ref="J768">_xlfn.IFS(K768&lt;30,"Young Adult",K768&lt;=50,"Adult",K768&gt;50,"Senior")</f>
        <v>Young Adult</v>
      </c>
      <c r="K768" s="4">
        <v>24</v>
      </c>
      <c r="L768" s="4" t="s">
        <v>8</v>
      </c>
      <c r="M768" s="4">
        <v>4</v>
      </c>
      <c r="N768" s="19">
        <v>300</v>
      </c>
      <c r="O768" s="15">
        <f>M768 * N768</f>
        <v>1200</v>
      </c>
      <c r="P768" s="15">
        <f>O768*$S$3</f>
        <v>18</v>
      </c>
      <c r="Q768" s="15">
        <f>O768*$S$4</f>
        <v>24</v>
      </c>
    </row>
    <row r="769" spans="1:17">
      <c r="A769" s="2">
        <v>975</v>
      </c>
      <c r="B769" s="4">
        <f>DAY(G769)</f>
        <v>30</v>
      </c>
      <c r="C769" s="4">
        <f>MONTH(G769)</f>
        <v>3</v>
      </c>
      <c r="D769" s="4">
        <f>YEAR(G769)</f>
        <v>2023</v>
      </c>
      <c r="E769" s="4" t="str">
        <f>TEXT(G769,"dddd")</f>
        <v>Thursday</v>
      </c>
      <c r="F769" s="4" t="str">
        <f>TEXT(G769,"mmm")</f>
        <v>Mar</v>
      </c>
      <c r="G769" s="3">
        <v>45015</v>
      </c>
      <c r="H769" s="4" t="s">
        <v>802</v>
      </c>
      <c r="I769" s="4" t="s">
        <v>29</v>
      </c>
      <c r="J769" s="4" t="str" cm="1">
        <f t="array" ref="J769">_xlfn.IFS(K769&lt;30,"Young Adult",K769&lt;=50,"Adult",K769&gt;50,"Senior")</f>
        <v>Senior</v>
      </c>
      <c r="K769" s="4">
        <v>56</v>
      </c>
      <c r="L769" s="4" t="s">
        <v>8</v>
      </c>
      <c r="M769" s="4">
        <v>4</v>
      </c>
      <c r="N769" s="19">
        <v>50</v>
      </c>
      <c r="O769" s="15">
        <f>M769 * N769</f>
        <v>200</v>
      </c>
      <c r="P769" s="15">
        <f>O769*$S$3</f>
        <v>3</v>
      </c>
      <c r="Q769" s="15">
        <f>O769*$S$4</f>
        <v>4</v>
      </c>
    </row>
    <row r="770" spans="1:17">
      <c r="A770" s="2">
        <v>88</v>
      </c>
      <c r="B770" s="4">
        <f>DAY(G770)</f>
        <v>29</v>
      </c>
      <c r="C770" s="4">
        <f>MONTH(G770)</f>
        <v>3</v>
      </c>
      <c r="D770" s="4">
        <f>YEAR(G770)</f>
        <v>2023</v>
      </c>
      <c r="E770" s="4" t="str">
        <f>TEXT(G770,"dddd")</f>
        <v>Wednesday</v>
      </c>
      <c r="F770" s="4" t="str">
        <f>TEXT(G770,"mmm")</f>
        <v>Mar</v>
      </c>
      <c r="G770" s="3">
        <v>45014</v>
      </c>
      <c r="H770" s="4" t="s">
        <v>803</v>
      </c>
      <c r="I770" s="4" t="s">
        <v>24</v>
      </c>
      <c r="J770" s="4" t="str" cm="1">
        <f t="array" ref="J770">_xlfn.IFS(K770&lt;30,"Young Adult",K770&lt;=50,"Adult",K770&gt;50,"Senior")</f>
        <v>Senior</v>
      </c>
      <c r="K770" s="4">
        <v>56</v>
      </c>
      <c r="L770" s="4" t="s">
        <v>8</v>
      </c>
      <c r="M770" s="4">
        <v>1</v>
      </c>
      <c r="N770" s="19">
        <v>500</v>
      </c>
      <c r="O770" s="15">
        <f>M770 * N770</f>
        <v>500</v>
      </c>
      <c r="P770" s="15">
        <f>O770*$S$3</f>
        <v>7.5</v>
      </c>
      <c r="Q770" s="15">
        <f>O770*$S$4</f>
        <v>10</v>
      </c>
    </row>
    <row r="771" spans="1:17">
      <c r="A771" s="2">
        <v>575</v>
      </c>
      <c r="B771" s="4">
        <f>DAY(G771)</f>
        <v>28</v>
      </c>
      <c r="C771" s="4">
        <f>MONTH(G771)</f>
        <v>3</v>
      </c>
      <c r="D771" s="4">
        <f>YEAR(G771)</f>
        <v>2023</v>
      </c>
      <c r="E771" s="4" t="str">
        <f>TEXT(G771,"dddd")</f>
        <v>Tuesday</v>
      </c>
      <c r="F771" s="4" t="str">
        <f>TEXT(G771,"mmm")</f>
        <v>Mar</v>
      </c>
      <c r="G771" s="3">
        <v>45013</v>
      </c>
      <c r="H771" s="4" t="s">
        <v>804</v>
      </c>
      <c r="I771" s="4" t="s">
        <v>24</v>
      </c>
      <c r="J771" s="4" t="str" cm="1">
        <f t="array" ref="J771">_xlfn.IFS(K771&lt;30,"Young Adult",K771&lt;=50,"Adult",K771&gt;50,"Senior")</f>
        <v>Senior</v>
      </c>
      <c r="K771" s="4">
        <v>60</v>
      </c>
      <c r="L771" s="4" t="s">
        <v>8</v>
      </c>
      <c r="M771" s="4">
        <v>2</v>
      </c>
      <c r="N771" s="19">
        <v>50</v>
      </c>
      <c r="O771" s="15">
        <f>M771 * N771</f>
        <v>100</v>
      </c>
      <c r="P771" s="15">
        <f>O771*$S$3</f>
        <v>1.5</v>
      </c>
      <c r="Q771" s="15">
        <f>O771*$S$4</f>
        <v>2</v>
      </c>
    </row>
    <row r="772" spans="1:17">
      <c r="A772" s="2">
        <v>760</v>
      </c>
      <c r="B772" s="4">
        <f>DAY(G772)</f>
        <v>27</v>
      </c>
      <c r="C772" s="4">
        <f>MONTH(G772)</f>
        <v>3</v>
      </c>
      <c r="D772" s="4">
        <f>YEAR(G772)</f>
        <v>2023</v>
      </c>
      <c r="E772" s="4" t="str">
        <f>TEXT(G772,"dddd")</f>
        <v>Monday</v>
      </c>
      <c r="F772" s="4" t="str">
        <f>TEXT(G772,"mmm")</f>
        <v>Mar</v>
      </c>
      <c r="G772" s="3">
        <v>45012</v>
      </c>
      <c r="H772" s="4" t="s">
        <v>805</v>
      </c>
      <c r="I772" s="4" t="s">
        <v>24</v>
      </c>
      <c r="J772" s="4" t="str" cm="1">
        <f t="array" ref="J772">_xlfn.IFS(K772&lt;30,"Young Adult",K772&lt;=50,"Adult",K772&gt;50,"Senior")</f>
        <v>Young Adult</v>
      </c>
      <c r="K772" s="4">
        <v>27</v>
      </c>
      <c r="L772" s="4" t="s">
        <v>7</v>
      </c>
      <c r="M772" s="4">
        <v>1</v>
      </c>
      <c r="N772" s="19">
        <v>500</v>
      </c>
      <c r="O772" s="15">
        <f>M772 * N772</f>
        <v>500</v>
      </c>
      <c r="P772" s="15">
        <f>O772*$S$3</f>
        <v>7.5</v>
      </c>
      <c r="Q772" s="15">
        <f>O772*$S$4</f>
        <v>10</v>
      </c>
    </row>
    <row r="773" spans="1:17">
      <c r="A773" s="2">
        <v>294</v>
      </c>
      <c r="B773" s="4">
        <f>DAY(G773)</f>
        <v>27</v>
      </c>
      <c r="C773" s="4">
        <f>MONTH(G773)</f>
        <v>3</v>
      </c>
      <c r="D773" s="4">
        <f>YEAR(G773)</f>
        <v>2023</v>
      </c>
      <c r="E773" s="4" t="str">
        <f>TEXT(G773,"dddd")</f>
        <v>Monday</v>
      </c>
      <c r="F773" s="4" t="str">
        <f>TEXT(G773,"mmm")</f>
        <v>Mar</v>
      </c>
      <c r="G773" s="3">
        <v>45012</v>
      </c>
      <c r="H773" s="4" t="s">
        <v>806</v>
      </c>
      <c r="I773" s="4" t="s">
        <v>29</v>
      </c>
      <c r="J773" s="4" t="str" cm="1">
        <f t="array" ref="J773">_xlfn.IFS(K773&lt;30,"Young Adult",K773&lt;=50,"Adult",K773&gt;50,"Senior")</f>
        <v>Young Adult</v>
      </c>
      <c r="K773" s="4">
        <v>23</v>
      </c>
      <c r="L773" s="4" t="s">
        <v>8</v>
      </c>
      <c r="M773" s="4">
        <v>3</v>
      </c>
      <c r="N773" s="19">
        <v>30</v>
      </c>
      <c r="O773" s="15">
        <f>M773 * N773</f>
        <v>90</v>
      </c>
      <c r="P773" s="15">
        <f>O773*$S$3</f>
        <v>1.3499999999999999</v>
      </c>
      <c r="Q773" s="15">
        <f>O773*$S$4</f>
        <v>1.8</v>
      </c>
    </row>
    <row r="774" spans="1:17">
      <c r="A774" s="2">
        <v>202</v>
      </c>
      <c r="B774" s="4">
        <f>DAY(G774)</f>
        <v>26</v>
      </c>
      <c r="C774" s="4">
        <f>MONTH(G774)</f>
        <v>3</v>
      </c>
      <c r="D774" s="4">
        <f>YEAR(G774)</f>
        <v>2023</v>
      </c>
      <c r="E774" s="4" t="str">
        <f>TEXT(G774,"dddd")</f>
        <v>Sunday</v>
      </c>
      <c r="F774" s="4" t="str">
        <f>TEXT(G774,"mmm")</f>
        <v>Mar</v>
      </c>
      <c r="G774" s="3">
        <v>45011</v>
      </c>
      <c r="H774" s="4" t="s">
        <v>807</v>
      </c>
      <c r="I774" s="4" t="s">
        <v>29</v>
      </c>
      <c r="J774" s="4" t="str" cm="1">
        <f t="array" ref="J774">_xlfn.IFS(K774&lt;30,"Young Adult",K774&lt;=50,"Adult",K774&gt;50,"Senior")</f>
        <v>Adult</v>
      </c>
      <c r="K774" s="4">
        <v>34</v>
      </c>
      <c r="L774" s="4" t="s">
        <v>8</v>
      </c>
      <c r="M774" s="4">
        <v>4</v>
      </c>
      <c r="N774" s="19">
        <v>300</v>
      </c>
      <c r="O774" s="15">
        <f>M774 * N774</f>
        <v>1200</v>
      </c>
      <c r="P774" s="15">
        <f>O774*$S$3</f>
        <v>18</v>
      </c>
      <c r="Q774" s="15">
        <f>O774*$S$4</f>
        <v>24</v>
      </c>
    </row>
    <row r="775" spans="1:17">
      <c r="A775" s="2">
        <v>703</v>
      </c>
      <c r="B775" s="4">
        <f>DAY(G775)</f>
        <v>26</v>
      </c>
      <c r="C775" s="4">
        <f>MONTH(G775)</f>
        <v>3</v>
      </c>
      <c r="D775" s="4">
        <f>YEAR(G775)</f>
        <v>2023</v>
      </c>
      <c r="E775" s="4" t="str">
        <f>TEXT(G775,"dddd")</f>
        <v>Sunday</v>
      </c>
      <c r="F775" s="4" t="str">
        <f>TEXT(G775,"mmm")</f>
        <v>Mar</v>
      </c>
      <c r="G775" s="3">
        <v>45011</v>
      </c>
      <c r="H775" s="4" t="s">
        <v>808</v>
      </c>
      <c r="I775" s="4" t="s">
        <v>24</v>
      </c>
      <c r="J775" s="4" t="str" cm="1">
        <f t="array" ref="J775">_xlfn.IFS(K775&lt;30,"Young Adult",K775&lt;=50,"Adult",K775&gt;50,"Senior")</f>
        <v>Adult</v>
      </c>
      <c r="K775" s="4">
        <v>34</v>
      </c>
      <c r="L775" s="4" t="s">
        <v>9</v>
      </c>
      <c r="M775" s="4">
        <v>2</v>
      </c>
      <c r="N775" s="19">
        <v>50</v>
      </c>
      <c r="O775" s="15">
        <f>M775 * N775</f>
        <v>100</v>
      </c>
      <c r="P775" s="15">
        <f>O775*$S$3</f>
        <v>1.5</v>
      </c>
      <c r="Q775" s="15">
        <f>O775*$S$4</f>
        <v>2</v>
      </c>
    </row>
    <row r="776" spans="1:17">
      <c r="A776" s="2">
        <v>301</v>
      </c>
      <c r="B776" s="4">
        <f>DAY(G776)</f>
        <v>26</v>
      </c>
      <c r="C776" s="4">
        <f>MONTH(G776)</f>
        <v>3</v>
      </c>
      <c r="D776" s="4">
        <f>YEAR(G776)</f>
        <v>2023</v>
      </c>
      <c r="E776" s="4" t="str">
        <f>TEXT(G776,"dddd")</f>
        <v>Sunday</v>
      </c>
      <c r="F776" s="4" t="str">
        <f>TEXT(G776,"mmm")</f>
        <v>Mar</v>
      </c>
      <c r="G776" s="3">
        <v>45011</v>
      </c>
      <c r="H776" s="4" t="s">
        <v>809</v>
      </c>
      <c r="I776" s="4" t="s">
        <v>24</v>
      </c>
      <c r="J776" s="4" t="str" cm="1">
        <f t="array" ref="J776">_xlfn.IFS(K776&lt;30,"Young Adult",K776&lt;=50,"Adult",K776&gt;50,"Senior")</f>
        <v>Adult</v>
      </c>
      <c r="K776" s="4">
        <v>30</v>
      </c>
      <c r="L776" s="4" t="s">
        <v>8</v>
      </c>
      <c r="M776" s="4">
        <v>4</v>
      </c>
      <c r="N776" s="19">
        <v>30</v>
      </c>
      <c r="O776" s="15">
        <f>M776 * N776</f>
        <v>120</v>
      </c>
      <c r="P776" s="15">
        <f>O776*$S$3</f>
        <v>1.7999999999999998</v>
      </c>
      <c r="Q776" s="15">
        <f>O776*$S$4</f>
        <v>2.4</v>
      </c>
    </row>
    <row r="777" spans="1:17">
      <c r="A777" s="2">
        <v>91</v>
      </c>
      <c r="B777" s="4">
        <f>DAY(G777)</f>
        <v>25</v>
      </c>
      <c r="C777" s="4">
        <f>MONTH(G777)</f>
        <v>3</v>
      </c>
      <c r="D777" s="4">
        <f>YEAR(G777)</f>
        <v>2023</v>
      </c>
      <c r="E777" s="4" t="str">
        <f>TEXT(G777,"dddd")</f>
        <v>Saturday</v>
      </c>
      <c r="F777" s="4" t="str">
        <f>TEXT(G777,"mmm")</f>
        <v>Mar</v>
      </c>
      <c r="G777" s="3">
        <v>45010</v>
      </c>
      <c r="H777" s="4" t="s">
        <v>810</v>
      </c>
      <c r="I777" s="4" t="s">
        <v>29</v>
      </c>
      <c r="J777" s="4" t="str" cm="1">
        <f t="array" ref="J777">_xlfn.IFS(K777&lt;30,"Young Adult",K777&lt;=50,"Adult",K777&gt;50,"Senior")</f>
        <v>Senior</v>
      </c>
      <c r="K777" s="4">
        <v>55</v>
      </c>
      <c r="L777" s="4" t="s">
        <v>9</v>
      </c>
      <c r="M777" s="4">
        <v>1</v>
      </c>
      <c r="N777" s="19">
        <v>500</v>
      </c>
      <c r="O777" s="15">
        <f>M777 * N777</f>
        <v>500</v>
      </c>
      <c r="P777" s="15">
        <f>O777*$S$3</f>
        <v>7.5</v>
      </c>
      <c r="Q777" s="15">
        <f>O777*$S$4</f>
        <v>10</v>
      </c>
    </row>
    <row r="778" spans="1:17">
      <c r="A778" s="2">
        <v>764</v>
      </c>
      <c r="B778" s="4">
        <f>DAY(G778)</f>
        <v>25</v>
      </c>
      <c r="C778" s="4">
        <f>MONTH(G778)</f>
        <v>3</v>
      </c>
      <c r="D778" s="4">
        <f>YEAR(G778)</f>
        <v>2023</v>
      </c>
      <c r="E778" s="4" t="str">
        <f>TEXT(G778,"dddd")</f>
        <v>Saturday</v>
      </c>
      <c r="F778" s="4" t="str">
        <f>TEXT(G778,"mmm")</f>
        <v>Mar</v>
      </c>
      <c r="G778" s="3">
        <v>45010</v>
      </c>
      <c r="H778" s="4" t="s">
        <v>811</v>
      </c>
      <c r="I778" s="4" t="s">
        <v>29</v>
      </c>
      <c r="J778" s="4" t="str" cm="1">
        <f t="array" ref="J778">_xlfn.IFS(K778&lt;30,"Young Adult",K778&lt;=50,"Adult",K778&gt;50,"Senior")</f>
        <v>Adult</v>
      </c>
      <c r="K778" s="4">
        <v>40</v>
      </c>
      <c r="L778" s="4" t="s">
        <v>8</v>
      </c>
      <c r="M778" s="4">
        <v>1</v>
      </c>
      <c r="N778" s="19">
        <v>25</v>
      </c>
      <c r="O778" s="15">
        <f>M778 * N778</f>
        <v>25</v>
      </c>
      <c r="P778" s="15">
        <f>O778*$S$3</f>
        <v>0.375</v>
      </c>
      <c r="Q778" s="15">
        <f>O778*$S$4</f>
        <v>0.5</v>
      </c>
    </row>
    <row r="779" spans="1:17">
      <c r="A779" s="2">
        <v>76</v>
      </c>
      <c r="B779" s="4">
        <f>DAY(G779)</f>
        <v>25</v>
      </c>
      <c r="C779" s="4">
        <f>MONTH(G779)</f>
        <v>3</v>
      </c>
      <c r="D779" s="4">
        <f>YEAR(G779)</f>
        <v>2023</v>
      </c>
      <c r="E779" s="4" t="str">
        <f>TEXT(G779,"dddd")</f>
        <v>Saturday</v>
      </c>
      <c r="F779" s="4" t="str">
        <f>TEXT(G779,"mmm")</f>
        <v>Mar</v>
      </c>
      <c r="G779" s="3">
        <v>45010</v>
      </c>
      <c r="H779" s="4" t="s">
        <v>812</v>
      </c>
      <c r="I779" s="4" t="s">
        <v>29</v>
      </c>
      <c r="J779" s="4" t="str" cm="1">
        <f t="array" ref="J779">_xlfn.IFS(K779&lt;30,"Young Adult",K779&lt;=50,"Adult",K779&gt;50,"Senior")</f>
        <v>Young Adult</v>
      </c>
      <c r="K779" s="4">
        <v>22</v>
      </c>
      <c r="L779" s="4" t="s">
        <v>9</v>
      </c>
      <c r="M779" s="4">
        <v>2</v>
      </c>
      <c r="N779" s="19">
        <v>50</v>
      </c>
      <c r="O779" s="15">
        <f>M779 * N779</f>
        <v>100</v>
      </c>
      <c r="P779" s="15">
        <f>O779*$S$3</f>
        <v>1.5</v>
      </c>
      <c r="Q779" s="15">
        <f>O779*$S$4</f>
        <v>2</v>
      </c>
    </row>
    <row r="780" spans="1:17">
      <c r="A780" s="2">
        <v>461</v>
      </c>
      <c r="B780" s="4">
        <f>DAY(G780)</f>
        <v>25</v>
      </c>
      <c r="C780" s="4">
        <f>MONTH(G780)</f>
        <v>3</v>
      </c>
      <c r="D780" s="4">
        <f>YEAR(G780)</f>
        <v>2023</v>
      </c>
      <c r="E780" s="4" t="str">
        <f>TEXT(G780,"dddd")</f>
        <v>Saturday</v>
      </c>
      <c r="F780" s="4" t="str">
        <f>TEXT(G780,"mmm")</f>
        <v>Mar</v>
      </c>
      <c r="G780" s="3">
        <v>45010</v>
      </c>
      <c r="H780" s="4" t="s">
        <v>813</v>
      </c>
      <c r="I780" s="4" t="s">
        <v>29</v>
      </c>
      <c r="J780" s="4" t="str" cm="1">
        <f t="array" ref="J780">_xlfn.IFS(K780&lt;30,"Young Adult",K780&lt;=50,"Adult",K780&gt;50,"Senior")</f>
        <v>Young Adult</v>
      </c>
      <c r="K780" s="4">
        <v>18</v>
      </c>
      <c r="L780" s="4" t="s">
        <v>7</v>
      </c>
      <c r="M780" s="4">
        <v>2</v>
      </c>
      <c r="N780" s="19">
        <v>500</v>
      </c>
      <c r="O780" s="15">
        <f>M780 * N780</f>
        <v>1000</v>
      </c>
      <c r="P780" s="15">
        <f>O780*$S$3</f>
        <v>15</v>
      </c>
      <c r="Q780" s="15">
        <f>O780*$S$4</f>
        <v>20</v>
      </c>
    </row>
    <row r="781" spans="1:17">
      <c r="A781" s="2">
        <v>177</v>
      </c>
      <c r="B781" s="4">
        <f>DAY(G781)</f>
        <v>24</v>
      </c>
      <c r="C781" s="4">
        <f>MONTH(G781)</f>
        <v>3</v>
      </c>
      <c r="D781" s="4">
        <f>YEAR(G781)</f>
        <v>2023</v>
      </c>
      <c r="E781" s="4" t="str">
        <f>TEXT(G781,"dddd")</f>
        <v>Friday</v>
      </c>
      <c r="F781" s="4" t="str">
        <f>TEXT(G781,"mmm")</f>
        <v>Mar</v>
      </c>
      <c r="G781" s="3">
        <v>45009</v>
      </c>
      <c r="H781" s="4" t="s">
        <v>814</v>
      </c>
      <c r="I781" s="4" t="s">
        <v>24</v>
      </c>
      <c r="J781" s="4" t="str" cm="1">
        <f t="array" ref="J781">_xlfn.IFS(K781&lt;30,"Young Adult",K781&lt;=50,"Adult",K781&gt;50,"Senior")</f>
        <v>Adult</v>
      </c>
      <c r="K781" s="4">
        <v>45</v>
      </c>
      <c r="L781" s="4" t="s">
        <v>7</v>
      </c>
      <c r="M781" s="4">
        <v>2</v>
      </c>
      <c r="N781" s="19">
        <v>50</v>
      </c>
      <c r="O781" s="15">
        <f>M781 * N781</f>
        <v>100</v>
      </c>
      <c r="P781" s="15">
        <f>O781*$S$3</f>
        <v>1.5</v>
      </c>
      <c r="Q781" s="15">
        <f>O781*$S$4</f>
        <v>2</v>
      </c>
    </row>
    <row r="782" spans="1:17">
      <c r="A782" s="2">
        <v>426</v>
      </c>
      <c r="B782" s="4">
        <f>DAY(G782)</f>
        <v>24</v>
      </c>
      <c r="C782" s="4">
        <f>MONTH(G782)</f>
        <v>3</v>
      </c>
      <c r="D782" s="4">
        <f>YEAR(G782)</f>
        <v>2023</v>
      </c>
      <c r="E782" s="4" t="str">
        <f>TEXT(G782,"dddd")</f>
        <v>Friday</v>
      </c>
      <c r="F782" s="4" t="str">
        <f>TEXT(G782,"mmm")</f>
        <v>Mar</v>
      </c>
      <c r="G782" s="3">
        <v>45009</v>
      </c>
      <c r="H782" s="4" t="s">
        <v>815</v>
      </c>
      <c r="I782" s="4" t="s">
        <v>24</v>
      </c>
      <c r="J782" s="4" t="str" cm="1">
        <f t="array" ref="J782">_xlfn.IFS(K782&lt;30,"Young Adult",K782&lt;=50,"Adult",K782&gt;50,"Senior")</f>
        <v>Young Adult</v>
      </c>
      <c r="K782" s="4">
        <v>23</v>
      </c>
      <c r="L782" s="4" t="s">
        <v>9</v>
      </c>
      <c r="M782" s="4">
        <v>3</v>
      </c>
      <c r="N782" s="19">
        <v>50</v>
      </c>
      <c r="O782" s="15">
        <f>M782 * N782</f>
        <v>150</v>
      </c>
      <c r="P782" s="15">
        <f>O782*$S$3</f>
        <v>2.25</v>
      </c>
      <c r="Q782" s="15">
        <f>O782*$S$4</f>
        <v>3</v>
      </c>
    </row>
    <row r="783" spans="1:17">
      <c r="A783" s="2">
        <v>33</v>
      </c>
      <c r="B783" s="4">
        <f>DAY(G783)</f>
        <v>23</v>
      </c>
      <c r="C783" s="4">
        <f>MONTH(G783)</f>
        <v>3</v>
      </c>
      <c r="D783" s="4">
        <f>YEAR(G783)</f>
        <v>2023</v>
      </c>
      <c r="E783" s="4" t="str">
        <f>TEXT(G783,"dddd")</f>
        <v>Thursday</v>
      </c>
      <c r="F783" s="4" t="str">
        <f>TEXT(G783,"mmm")</f>
        <v>Mar</v>
      </c>
      <c r="G783" s="3">
        <v>45008</v>
      </c>
      <c r="H783" s="4" t="s">
        <v>816</v>
      </c>
      <c r="I783" s="4" t="s">
        <v>29</v>
      </c>
      <c r="J783" s="4" t="str" cm="1">
        <f t="array" ref="J783">_xlfn.IFS(K783&lt;30,"Young Adult",K783&lt;=50,"Adult",K783&gt;50,"Senior")</f>
        <v>Adult</v>
      </c>
      <c r="K783" s="4">
        <v>50</v>
      </c>
      <c r="L783" s="4" t="s">
        <v>9</v>
      </c>
      <c r="M783" s="4">
        <v>2</v>
      </c>
      <c r="N783" s="19">
        <v>50</v>
      </c>
      <c r="O783" s="15">
        <f>M783 * N783</f>
        <v>100</v>
      </c>
      <c r="P783" s="15">
        <f>O783*$S$3</f>
        <v>1.5</v>
      </c>
      <c r="Q783" s="15">
        <f>O783*$S$4</f>
        <v>2</v>
      </c>
    </row>
    <row r="784" spans="1:17">
      <c r="A784" s="2">
        <v>138</v>
      </c>
      <c r="B784" s="4">
        <f>DAY(G784)</f>
        <v>23</v>
      </c>
      <c r="C784" s="4">
        <f>MONTH(G784)</f>
        <v>3</v>
      </c>
      <c r="D784" s="4">
        <f>YEAR(G784)</f>
        <v>2023</v>
      </c>
      <c r="E784" s="4" t="str">
        <f>TEXT(G784,"dddd")</f>
        <v>Thursday</v>
      </c>
      <c r="F784" s="4" t="str">
        <f>TEXT(G784,"mmm")</f>
        <v>Mar</v>
      </c>
      <c r="G784" s="3">
        <v>45008</v>
      </c>
      <c r="H784" s="4" t="s">
        <v>817</v>
      </c>
      <c r="I784" s="4" t="s">
        <v>24</v>
      </c>
      <c r="J784" s="4" t="str" cm="1">
        <f t="array" ref="J784">_xlfn.IFS(K784&lt;30,"Young Adult",K784&lt;=50,"Adult",K784&gt;50,"Senior")</f>
        <v>Adult</v>
      </c>
      <c r="K784" s="4">
        <v>49</v>
      </c>
      <c r="L784" s="4" t="s">
        <v>8</v>
      </c>
      <c r="M784" s="4">
        <v>4</v>
      </c>
      <c r="N784" s="19">
        <v>50</v>
      </c>
      <c r="O784" s="15">
        <f>M784 * N784</f>
        <v>200</v>
      </c>
      <c r="P784" s="15">
        <f>O784*$S$3</f>
        <v>3</v>
      </c>
      <c r="Q784" s="15">
        <f>O784*$S$4</f>
        <v>4</v>
      </c>
    </row>
    <row r="785" spans="1:17">
      <c r="A785" s="2">
        <v>471</v>
      </c>
      <c r="B785" s="4">
        <f>DAY(G785)</f>
        <v>23</v>
      </c>
      <c r="C785" s="4">
        <f>MONTH(G785)</f>
        <v>3</v>
      </c>
      <c r="D785" s="4">
        <f>YEAR(G785)</f>
        <v>2023</v>
      </c>
      <c r="E785" s="4" t="str">
        <f>TEXT(G785,"dddd")</f>
        <v>Thursday</v>
      </c>
      <c r="F785" s="4" t="str">
        <f>TEXT(G785,"mmm")</f>
        <v>Mar</v>
      </c>
      <c r="G785" s="3">
        <v>45008</v>
      </c>
      <c r="H785" s="4" t="s">
        <v>818</v>
      </c>
      <c r="I785" s="4" t="s">
        <v>24</v>
      </c>
      <c r="J785" s="4" t="str" cm="1">
        <f t="array" ref="J785">_xlfn.IFS(K785&lt;30,"Young Adult",K785&lt;=50,"Adult",K785&gt;50,"Senior")</f>
        <v>Adult</v>
      </c>
      <c r="K785" s="4">
        <v>32</v>
      </c>
      <c r="L785" s="4" t="s">
        <v>8</v>
      </c>
      <c r="M785" s="4">
        <v>3</v>
      </c>
      <c r="N785" s="19">
        <v>50</v>
      </c>
      <c r="O785" s="15">
        <f>M785 * N785</f>
        <v>150</v>
      </c>
      <c r="P785" s="15">
        <f>O785*$S$3</f>
        <v>2.25</v>
      </c>
      <c r="Q785" s="15">
        <f>O785*$S$4</f>
        <v>3</v>
      </c>
    </row>
    <row r="786" spans="1:17">
      <c r="A786" s="2">
        <v>636</v>
      </c>
      <c r="B786" s="4">
        <f>DAY(G786)</f>
        <v>23</v>
      </c>
      <c r="C786" s="4">
        <f>MONTH(G786)</f>
        <v>3</v>
      </c>
      <c r="D786" s="4">
        <f>YEAR(G786)</f>
        <v>2023</v>
      </c>
      <c r="E786" s="4" t="str">
        <f>TEXT(G786,"dddd")</f>
        <v>Thursday</v>
      </c>
      <c r="F786" s="4" t="str">
        <f>TEXT(G786,"mmm")</f>
        <v>Mar</v>
      </c>
      <c r="G786" s="3">
        <v>45008</v>
      </c>
      <c r="H786" s="4" t="s">
        <v>819</v>
      </c>
      <c r="I786" s="4" t="s">
        <v>29</v>
      </c>
      <c r="J786" s="4" t="str" cm="1">
        <f t="array" ref="J786">_xlfn.IFS(K786&lt;30,"Young Adult",K786&lt;=50,"Adult",K786&gt;50,"Senior")</f>
        <v>Young Adult</v>
      </c>
      <c r="K786" s="4">
        <v>21</v>
      </c>
      <c r="L786" s="4" t="s">
        <v>7</v>
      </c>
      <c r="M786" s="4">
        <v>3</v>
      </c>
      <c r="N786" s="19">
        <v>500</v>
      </c>
      <c r="O786" s="15">
        <f>M786 * N786</f>
        <v>1500</v>
      </c>
      <c r="P786" s="15">
        <f>O786*$S$3</f>
        <v>22.5</v>
      </c>
      <c r="Q786" s="15">
        <f>O786*$S$4</f>
        <v>30</v>
      </c>
    </row>
    <row r="787" spans="1:17">
      <c r="A787" s="2">
        <v>161</v>
      </c>
      <c r="B787" s="4">
        <f>DAY(G787)</f>
        <v>22</v>
      </c>
      <c r="C787" s="4">
        <f>MONTH(G787)</f>
        <v>3</v>
      </c>
      <c r="D787" s="4">
        <f>YEAR(G787)</f>
        <v>2023</v>
      </c>
      <c r="E787" s="4" t="str">
        <f>TEXT(G787,"dddd")</f>
        <v>Wednesday</v>
      </c>
      <c r="F787" s="4" t="str">
        <f>TEXT(G787,"mmm")</f>
        <v>Mar</v>
      </c>
      <c r="G787" s="3">
        <v>45007</v>
      </c>
      <c r="H787" s="4" t="s">
        <v>820</v>
      </c>
      <c r="I787" s="4" t="s">
        <v>24</v>
      </c>
      <c r="J787" s="4" t="str" cm="1">
        <f t="array" ref="J787">_xlfn.IFS(K787&lt;30,"Young Adult",K787&lt;=50,"Adult",K787&gt;50,"Senior")</f>
        <v>Senior</v>
      </c>
      <c r="K787" s="4">
        <v>64</v>
      </c>
      <c r="L787" s="4" t="s">
        <v>7</v>
      </c>
      <c r="M787" s="4">
        <v>2</v>
      </c>
      <c r="N787" s="19">
        <v>500</v>
      </c>
      <c r="O787" s="15">
        <f>M787 * N787</f>
        <v>1000</v>
      </c>
      <c r="P787" s="15">
        <f>O787*$S$3</f>
        <v>15</v>
      </c>
      <c r="Q787" s="15">
        <f>O787*$S$4</f>
        <v>20</v>
      </c>
    </row>
    <row r="788" spans="1:17">
      <c r="A788" s="2">
        <v>973</v>
      </c>
      <c r="B788" s="4">
        <f>DAY(G788)</f>
        <v>22</v>
      </c>
      <c r="C788" s="4">
        <f>MONTH(G788)</f>
        <v>3</v>
      </c>
      <c r="D788" s="4">
        <f>YEAR(G788)</f>
        <v>2023</v>
      </c>
      <c r="E788" s="4" t="str">
        <f>TEXT(G788,"dddd")</f>
        <v>Wednesday</v>
      </c>
      <c r="F788" s="4" t="str">
        <f>TEXT(G788,"mmm")</f>
        <v>Mar</v>
      </c>
      <c r="G788" s="3">
        <v>45007</v>
      </c>
      <c r="H788" s="4" t="s">
        <v>821</v>
      </c>
      <c r="I788" s="4" t="s">
        <v>24</v>
      </c>
      <c r="J788" s="4" t="str" cm="1">
        <f t="array" ref="J788">_xlfn.IFS(K788&lt;30,"Young Adult",K788&lt;=50,"Adult",K788&gt;50,"Senior")</f>
        <v>Senior</v>
      </c>
      <c r="K788" s="4">
        <v>60</v>
      </c>
      <c r="L788" s="4" t="s">
        <v>8</v>
      </c>
      <c r="M788" s="4">
        <v>1</v>
      </c>
      <c r="N788" s="19">
        <v>50</v>
      </c>
      <c r="O788" s="15">
        <f>M788 * N788</f>
        <v>50</v>
      </c>
      <c r="P788" s="15">
        <f>O788*$S$3</f>
        <v>0.75</v>
      </c>
      <c r="Q788" s="15">
        <f>O788*$S$4</f>
        <v>1</v>
      </c>
    </row>
    <row r="789" spans="1:17">
      <c r="A789" s="2">
        <v>978</v>
      </c>
      <c r="B789" s="4">
        <f>DAY(G789)</f>
        <v>22</v>
      </c>
      <c r="C789" s="4">
        <f>MONTH(G789)</f>
        <v>3</v>
      </c>
      <c r="D789" s="4">
        <f>YEAR(G789)</f>
        <v>2023</v>
      </c>
      <c r="E789" s="4" t="str">
        <f>TEXT(G789,"dddd")</f>
        <v>Wednesday</v>
      </c>
      <c r="F789" s="4" t="str">
        <f>TEXT(G789,"mmm")</f>
        <v>Mar</v>
      </c>
      <c r="G789" s="3">
        <v>45007</v>
      </c>
      <c r="H789" s="4" t="s">
        <v>822</v>
      </c>
      <c r="I789" s="4" t="s">
        <v>29</v>
      </c>
      <c r="J789" s="4" t="str" cm="1">
        <f t="array" ref="J789">_xlfn.IFS(K789&lt;30,"Young Adult",K789&lt;=50,"Adult",K789&gt;50,"Senior")</f>
        <v>Senior</v>
      </c>
      <c r="K789" s="4">
        <v>53</v>
      </c>
      <c r="L789" s="4" t="s">
        <v>8</v>
      </c>
      <c r="M789" s="4">
        <v>3</v>
      </c>
      <c r="N789" s="19">
        <v>50</v>
      </c>
      <c r="O789" s="15">
        <f>M789 * N789</f>
        <v>150</v>
      </c>
      <c r="P789" s="15">
        <f>O789*$S$3</f>
        <v>2.25</v>
      </c>
      <c r="Q789" s="15">
        <f>O789*$S$4</f>
        <v>3</v>
      </c>
    </row>
    <row r="790" spans="1:17">
      <c r="A790" s="2">
        <v>383</v>
      </c>
      <c r="B790" s="4">
        <f>DAY(G790)</f>
        <v>22</v>
      </c>
      <c r="C790" s="4">
        <f>MONTH(G790)</f>
        <v>3</v>
      </c>
      <c r="D790" s="4">
        <f>YEAR(G790)</f>
        <v>2023</v>
      </c>
      <c r="E790" s="4" t="str">
        <f>TEXT(G790,"dddd")</f>
        <v>Wednesday</v>
      </c>
      <c r="F790" s="4" t="str">
        <f>TEXT(G790,"mmm")</f>
        <v>Mar</v>
      </c>
      <c r="G790" s="3">
        <v>45007</v>
      </c>
      <c r="H790" s="4" t="s">
        <v>823</v>
      </c>
      <c r="I790" s="4" t="s">
        <v>29</v>
      </c>
      <c r="J790" s="4" t="str" cm="1">
        <f t="array" ref="J790">_xlfn.IFS(K790&lt;30,"Young Adult",K790&lt;=50,"Adult",K790&gt;50,"Senior")</f>
        <v>Adult</v>
      </c>
      <c r="K790" s="4">
        <v>46</v>
      </c>
      <c r="L790" s="4" t="s">
        <v>7</v>
      </c>
      <c r="M790" s="4">
        <v>3</v>
      </c>
      <c r="N790" s="19">
        <v>30</v>
      </c>
      <c r="O790" s="15">
        <f>M790 * N790</f>
        <v>90</v>
      </c>
      <c r="P790" s="15">
        <f>O790*$S$3</f>
        <v>1.3499999999999999</v>
      </c>
      <c r="Q790" s="15">
        <f>O790*$S$4</f>
        <v>1.8</v>
      </c>
    </row>
    <row r="791" spans="1:17">
      <c r="A791" s="2">
        <v>328</v>
      </c>
      <c r="B791" s="4">
        <f>DAY(G791)</f>
        <v>22</v>
      </c>
      <c r="C791" s="4">
        <f>MONTH(G791)</f>
        <v>3</v>
      </c>
      <c r="D791" s="4">
        <f>YEAR(G791)</f>
        <v>2023</v>
      </c>
      <c r="E791" s="4" t="str">
        <f>TEXT(G791,"dddd")</f>
        <v>Wednesday</v>
      </c>
      <c r="F791" s="4" t="str">
        <f>TEXT(G791,"mmm")</f>
        <v>Mar</v>
      </c>
      <c r="G791" s="3">
        <v>45007</v>
      </c>
      <c r="H791" s="4" t="s">
        <v>824</v>
      </c>
      <c r="I791" s="4" t="s">
        <v>24</v>
      </c>
      <c r="J791" s="4" t="str" cm="1">
        <f t="array" ref="J791">_xlfn.IFS(K791&lt;30,"Young Adult",K791&lt;=50,"Adult",K791&gt;50,"Senior")</f>
        <v>Adult</v>
      </c>
      <c r="K791" s="4">
        <v>39</v>
      </c>
      <c r="L791" s="4" t="s">
        <v>7</v>
      </c>
      <c r="M791" s="4">
        <v>2</v>
      </c>
      <c r="N791" s="19">
        <v>50</v>
      </c>
      <c r="O791" s="15">
        <f>M791 * N791</f>
        <v>100</v>
      </c>
      <c r="P791" s="15">
        <f>O791*$S$3</f>
        <v>1.5</v>
      </c>
      <c r="Q791" s="15">
        <f>O791*$S$4</f>
        <v>2</v>
      </c>
    </row>
    <row r="792" spans="1:17">
      <c r="A792" s="2">
        <v>313</v>
      </c>
      <c r="B792" s="4">
        <f>DAY(G792)</f>
        <v>21</v>
      </c>
      <c r="C792" s="4">
        <f>MONTH(G792)</f>
        <v>3</v>
      </c>
      <c r="D792" s="4">
        <f>YEAR(G792)</f>
        <v>2023</v>
      </c>
      <c r="E792" s="4" t="str">
        <f>TEXT(G792,"dddd")</f>
        <v>Tuesday</v>
      </c>
      <c r="F792" s="4" t="str">
        <f>TEXT(G792,"mmm")</f>
        <v>Mar</v>
      </c>
      <c r="G792" s="3">
        <v>45006</v>
      </c>
      <c r="H792" s="4" t="s">
        <v>825</v>
      </c>
      <c r="I792" s="4" t="s">
        <v>29</v>
      </c>
      <c r="J792" s="4" t="str" cm="1">
        <f t="array" ref="J792">_xlfn.IFS(K792&lt;30,"Young Adult",K792&lt;=50,"Adult",K792&gt;50,"Senior")</f>
        <v>Senior</v>
      </c>
      <c r="K792" s="4">
        <v>55</v>
      </c>
      <c r="L792" s="4" t="s">
        <v>7</v>
      </c>
      <c r="M792" s="4">
        <v>3</v>
      </c>
      <c r="N792" s="19">
        <v>500</v>
      </c>
      <c r="O792" s="15">
        <f>M792 * N792</f>
        <v>1500</v>
      </c>
      <c r="P792" s="15">
        <f>O792*$S$3</f>
        <v>22.5</v>
      </c>
      <c r="Q792" s="15">
        <f>O792*$S$4</f>
        <v>30</v>
      </c>
    </row>
    <row r="793" spans="1:17">
      <c r="A793" s="2">
        <v>402</v>
      </c>
      <c r="B793" s="4">
        <f>DAY(G793)</f>
        <v>21</v>
      </c>
      <c r="C793" s="4">
        <f>MONTH(G793)</f>
        <v>3</v>
      </c>
      <c r="D793" s="4">
        <f>YEAR(G793)</f>
        <v>2023</v>
      </c>
      <c r="E793" s="4" t="str">
        <f>TEXT(G793,"dddd")</f>
        <v>Tuesday</v>
      </c>
      <c r="F793" s="4" t="str">
        <f>TEXT(G793,"mmm")</f>
        <v>Mar</v>
      </c>
      <c r="G793" s="3">
        <v>45006</v>
      </c>
      <c r="H793" s="4" t="s">
        <v>826</v>
      </c>
      <c r="I793" s="4" t="s">
        <v>29</v>
      </c>
      <c r="J793" s="4" t="str" cm="1">
        <f t="array" ref="J793">_xlfn.IFS(K793&lt;30,"Young Adult",K793&lt;=50,"Adult",K793&gt;50,"Senior")</f>
        <v>Adult</v>
      </c>
      <c r="K793" s="4">
        <v>41</v>
      </c>
      <c r="L793" s="4" t="s">
        <v>8</v>
      </c>
      <c r="M793" s="4">
        <v>2</v>
      </c>
      <c r="N793" s="19">
        <v>300</v>
      </c>
      <c r="O793" s="15">
        <f>M793 * N793</f>
        <v>600</v>
      </c>
      <c r="P793" s="15">
        <f>O793*$S$3</f>
        <v>9</v>
      </c>
      <c r="Q793" s="15">
        <f>O793*$S$4</f>
        <v>12</v>
      </c>
    </row>
    <row r="794" spans="1:17">
      <c r="A794" s="2">
        <v>38</v>
      </c>
      <c r="B794" s="4">
        <f>DAY(G794)</f>
        <v>21</v>
      </c>
      <c r="C794" s="4">
        <f>MONTH(G794)</f>
        <v>3</v>
      </c>
      <c r="D794" s="4">
        <f>YEAR(G794)</f>
        <v>2023</v>
      </c>
      <c r="E794" s="4" t="str">
        <f>TEXT(G794,"dddd")</f>
        <v>Tuesday</v>
      </c>
      <c r="F794" s="4" t="str">
        <f>TEXT(G794,"mmm")</f>
        <v>Mar</v>
      </c>
      <c r="G794" s="3">
        <v>45006</v>
      </c>
      <c r="H794" s="4" t="s">
        <v>827</v>
      </c>
      <c r="I794" s="4" t="s">
        <v>24</v>
      </c>
      <c r="J794" s="4" t="str" cm="1">
        <f t="array" ref="J794">_xlfn.IFS(K794&lt;30,"Young Adult",K794&lt;=50,"Adult",K794&gt;50,"Senior")</f>
        <v>Adult</v>
      </c>
      <c r="K794" s="4">
        <v>38</v>
      </c>
      <c r="L794" s="4" t="s">
        <v>7</v>
      </c>
      <c r="M794" s="4">
        <v>4</v>
      </c>
      <c r="N794" s="19">
        <v>50</v>
      </c>
      <c r="O794" s="15">
        <f>M794 * N794</f>
        <v>200</v>
      </c>
      <c r="P794" s="15">
        <f>O794*$S$3</f>
        <v>3</v>
      </c>
      <c r="Q794" s="15">
        <f>O794*$S$4</f>
        <v>4</v>
      </c>
    </row>
    <row r="795" spans="1:17">
      <c r="A795" s="2">
        <v>459</v>
      </c>
      <c r="B795" s="4">
        <f>DAY(G795)</f>
        <v>21</v>
      </c>
      <c r="C795" s="4">
        <f>MONTH(G795)</f>
        <v>3</v>
      </c>
      <c r="D795" s="4">
        <f>YEAR(G795)</f>
        <v>2023</v>
      </c>
      <c r="E795" s="4" t="str">
        <f>TEXT(G795,"dddd")</f>
        <v>Tuesday</v>
      </c>
      <c r="F795" s="4" t="str">
        <f>TEXT(G795,"mmm")</f>
        <v>Mar</v>
      </c>
      <c r="G795" s="3">
        <v>45006</v>
      </c>
      <c r="H795" s="4" t="s">
        <v>828</v>
      </c>
      <c r="I795" s="4" t="s">
        <v>24</v>
      </c>
      <c r="J795" s="4" t="str" cm="1">
        <f t="array" ref="J795">_xlfn.IFS(K795&lt;30,"Young Adult",K795&lt;=50,"Adult",K795&gt;50,"Senior")</f>
        <v>Young Adult</v>
      </c>
      <c r="K795" s="4">
        <v>28</v>
      </c>
      <c r="L795" s="4" t="s">
        <v>8</v>
      </c>
      <c r="M795" s="4">
        <v>4</v>
      </c>
      <c r="N795" s="19">
        <v>300</v>
      </c>
      <c r="O795" s="15">
        <f>M795 * N795</f>
        <v>1200</v>
      </c>
      <c r="P795" s="15">
        <f>O795*$S$3</f>
        <v>18</v>
      </c>
      <c r="Q795" s="15">
        <f>O795*$S$4</f>
        <v>24</v>
      </c>
    </row>
    <row r="796" spans="1:17">
      <c r="A796" s="2">
        <v>136</v>
      </c>
      <c r="B796" s="4">
        <f>DAY(G796)</f>
        <v>20</v>
      </c>
      <c r="C796" s="4">
        <f>MONTH(G796)</f>
        <v>3</v>
      </c>
      <c r="D796" s="4">
        <f>YEAR(G796)</f>
        <v>2023</v>
      </c>
      <c r="E796" s="4" t="str">
        <f>TEXT(G796,"dddd")</f>
        <v>Monday</v>
      </c>
      <c r="F796" s="4" t="str">
        <f>TEXT(G796,"mmm")</f>
        <v>Mar</v>
      </c>
      <c r="G796" s="3">
        <v>45005</v>
      </c>
      <c r="H796" s="4" t="s">
        <v>829</v>
      </c>
      <c r="I796" s="4" t="s">
        <v>24</v>
      </c>
      <c r="J796" s="4" t="str" cm="1">
        <f t="array" ref="J796">_xlfn.IFS(K796&lt;30,"Young Adult",K796&lt;=50,"Adult",K796&gt;50,"Senior")</f>
        <v>Adult</v>
      </c>
      <c r="K796" s="4">
        <v>44</v>
      </c>
      <c r="L796" s="4" t="s">
        <v>9</v>
      </c>
      <c r="M796" s="4">
        <v>2</v>
      </c>
      <c r="N796" s="19">
        <v>300</v>
      </c>
      <c r="O796" s="15">
        <f>M796 * N796</f>
        <v>600</v>
      </c>
      <c r="P796" s="15">
        <f>O796*$S$3</f>
        <v>9</v>
      </c>
      <c r="Q796" s="15">
        <f>O796*$S$4</f>
        <v>12</v>
      </c>
    </row>
    <row r="797" spans="1:17">
      <c r="A797" s="2">
        <v>806</v>
      </c>
      <c r="B797" s="4">
        <f>DAY(G797)</f>
        <v>20</v>
      </c>
      <c r="C797" s="4">
        <f>MONTH(G797)</f>
        <v>3</v>
      </c>
      <c r="D797" s="4">
        <f>YEAR(G797)</f>
        <v>2023</v>
      </c>
      <c r="E797" s="4" t="str">
        <f>TEXT(G797,"dddd")</f>
        <v>Monday</v>
      </c>
      <c r="F797" s="4" t="str">
        <f>TEXT(G797,"mmm")</f>
        <v>Mar</v>
      </c>
      <c r="G797" s="3">
        <v>45005</v>
      </c>
      <c r="H797" s="4" t="s">
        <v>830</v>
      </c>
      <c r="I797" s="4" t="s">
        <v>29</v>
      </c>
      <c r="J797" s="4" t="str" cm="1">
        <f t="array" ref="J797">_xlfn.IFS(K797&lt;30,"Young Adult",K797&lt;=50,"Adult",K797&gt;50,"Senior")</f>
        <v>Adult</v>
      </c>
      <c r="K797" s="4">
        <v>35</v>
      </c>
      <c r="L797" s="4" t="s">
        <v>7</v>
      </c>
      <c r="M797" s="4">
        <v>3</v>
      </c>
      <c r="N797" s="19">
        <v>300</v>
      </c>
      <c r="O797" s="15">
        <f>M797 * N797</f>
        <v>900</v>
      </c>
      <c r="P797" s="15">
        <f>O797*$S$3</f>
        <v>13.5</v>
      </c>
      <c r="Q797" s="15">
        <f>O797*$S$4</f>
        <v>18</v>
      </c>
    </row>
    <row r="798" spans="1:17">
      <c r="A798" s="2">
        <v>175</v>
      </c>
      <c r="B798" s="4">
        <f>DAY(G798)</f>
        <v>20</v>
      </c>
      <c r="C798" s="4">
        <f>MONTH(G798)</f>
        <v>3</v>
      </c>
      <c r="D798" s="4">
        <f>YEAR(G798)</f>
        <v>2023</v>
      </c>
      <c r="E798" s="4" t="str">
        <f>TEXT(G798,"dddd")</f>
        <v>Monday</v>
      </c>
      <c r="F798" s="4" t="str">
        <f>TEXT(G798,"mmm")</f>
        <v>Mar</v>
      </c>
      <c r="G798" s="3">
        <v>45005</v>
      </c>
      <c r="H798" s="4" t="s">
        <v>831</v>
      </c>
      <c r="I798" s="4" t="s">
        <v>29</v>
      </c>
      <c r="J798" s="4" t="str" cm="1">
        <f t="array" ref="J798">_xlfn.IFS(K798&lt;30,"Young Adult",K798&lt;=50,"Adult",K798&gt;50,"Senior")</f>
        <v>Adult</v>
      </c>
      <c r="K798" s="4">
        <v>31</v>
      </c>
      <c r="L798" s="4" t="s">
        <v>9</v>
      </c>
      <c r="M798" s="4">
        <v>4</v>
      </c>
      <c r="N798" s="19">
        <v>25</v>
      </c>
      <c r="O798" s="15">
        <f>M798 * N798</f>
        <v>100</v>
      </c>
      <c r="P798" s="15">
        <f>O798*$S$3</f>
        <v>1.5</v>
      </c>
      <c r="Q798" s="15">
        <f>O798*$S$4</f>
        <v>2</v>
      </c>
    </row>
    <row r="799" spans="1:17">
      <c r="A799" s="2">
        <v>748</v>
      </c>
      <c r="B799" s="4">
        <f>DAY(G799)</f>
        <v>20</v>
      </c>
      <c r="C799" s="4">
        <f>MONTH(G799)</f>
        <v>3</v>
      </c>
      <c r="D799" s="4">
        <f>YEAR(G799)</f>
        <v>2023</v>
      </c>
      <c r="E799" s="4" t="str">
        <f>TEXT(G799,"dddd")</f>
        <v>Monday</v>
      </c>
      <c r="F799" s="4" t="str">
        <f>TEXT(G799,"mmm")</f>
        <v>Mar</v>
      </c>
      <c r="G799" s="3">
        <v>45005</v>
      </c>
      <c r="H799" s="4" t="s">
        <v>832</v>
      </c>
      <c r="I799" s="4" t="s">
        <v>24</v>
      </c>
      <c r="J799" s="4" t="str" cm="1">
        <f t="array" ref="J799">_xlfn.IFS(K799&lt;30,"Young Adult",K799&lt;=50,"Adult",K799&gt;50,"Senior")</f>
        <v>Young Adult</v>
      </c>
      <c r="K799" s="4">
        <v>25</v>
      </c>
      <c r="L799" s="4" t="s">
        <v>8</v>
      </c>
      <c r="M799" s="4">
        <v>3</v>
      </c>
      <c r="N799" s="19">
        <v>50</v>
      </c>
      <c r="O799" s="15">
        <f>M799 * N799</f>
        <v>150</v>
      </c>
      <c r="P799" s="15">
        <f>O799*$S$3</f>
        <v>2.25</v>
      </c>
      <c r="Q799" s="15">
        <f>O799*$S$4</f>
        <v>3</v>
      </c>
    </row>
    <row r="800" spans="1:17">
      <c r="A800" s="2">
        <v>663</v>
      </c>
      <c r="B800" s="4">
        <f>DAY(G800)</f>
        <v>20</v>
      </c>
      <c r="C800" s="4">
        <f>MONTH(G800)</f>
        <v>3</v>
      </c>
      <c r="D800" s="4">
        <f>YEAR(G800)</f>
        <v>2023</v>
      </c>
      <c r="E800" s="4" t="str">
        <f>TEXT(G800,"dddd")</f>
        <v>Monday</v>
      </c>
      <c r="F800" s="4" t="str">
        <f>TEXT(G800,"mmm")</f>
        <v>Mar</v>
      </c>
      <c r="G800" s="3">
        <v>45005</v>
      </c>
      <c r="H800" s="4" t="s">
        <v>833</v>
      </c>
      <c r="I800" s="4" t="s">
        <v>24</v>
      </c>
      <c r="J800" s="4" t="str" cm="1">
        <f t="array" ref="J800">_xlfn.IFS(K800&lt;30,"Young Adult",K800&lt;=50,"Adult",K800&gt;50,"Senior")</f>
        <v>Young Adult</v>
      </c>
      <c r="K800" s="4">
        <v>23</v>
      </c>
      <c r="L800" s="4" t="s">
        <v>8</v>
      </c>
      <c r="M800" s="4">
        <v>4</v>
      </c>
      <c r="N800" s="19">
        <v>300</v>
      </c>
      <c r="O800" s="15">
        <f>M800 * N800</f>
        <v>1200</v>
      </c>
      <c r="P800" s="15">
        <f>O800*$S$3</f>
        <v>18</v>
      </c>
      <c r="Q800" s="15">
        <f>O800*$S$4</f>
        <v>24</v>
      </c>
    </row>
    <row r="801" spans="1:17">
      <c r="A801" s="2">
        <v>941</v>
      </c>
      <c r="B801" s="4">
        <f>DAY(G801)</f>
        <v>19</v>
      </c>
      <c r="C801" s="4">
        <f>MONTH(G801)</f>
        <v>3</v>
      </c>
      <c r="D801" s="4">
        <f>YEAR(G801)</f>
        <v>2023</v>
      </c>
      <c r="E801" s="4" t="str">
        <f>TEXT(G801,"dddd")</f>
        <v>Sunday</v>
      </c>
      <c r="F801" s="4" t="str">
        <f>TEXT(G801,"mmm")</f>
        <v>Mar</v>
      </c>
      <c r="G801" s="3">
        <v>45004</v>
      </c>
      <c r="H801" s="4" t="s">
        <v>834</v>
      </c>
      <c r="I801" s="4" t="s">
        <v>29</v>
      </c>
      <c r="J801" s="4" t="str" cm="1">
        <f t="array" ref="J801">_xlfn.IFS(K801&lt;30,"Young Adult",K801&lt;=50,"Adult",K801&gt;50,"Senior")</f>
        <v>Senior</v>
      </c>
      <c r="K801" s="4">
        <v>57</v>
      </c>
      <c r="L801" s="4" t="s">
        <v>8</v>
      </c>
      <c r="M801" s="4">
        <v>2</v>
      </c>
      <c r="N801" s="19">
        <v>25</v>
      </c>
      <c r="O801" s="15">
        <f>M801 * N801</f>
        <v>50</v>
      </c>
      <c r="P801" s="15">
        <f>O801*$S$3</f>
        <v>0.75</v>
      </c>
      <c r="Q801" s="15">
        <f>O801*$S$4</f>
        <v>1</v>
      </c>
    </row>
    <row r="802" spans="1:17">
      <c r="A802" s="2">
        <v>659</v>
      </c>
      <c r="B802" s="4">
        <f>DAY(G802)</f>
        <v>19</v>
      </c>
      <c r="C802" s="4">
        <f>MONTH(G802)</f>
        <v>3</v>
      </c>
      <c r="D802" s="4">
        <f>YEAR(G802)</f>
        <v>2023</v>
      </c>
      <c r="E802" s="4" t="str">
        <f>TEXT(G802,"dddd")</f>
        <v>Sunday</v>
      </c>
      <c r="F802" s="4" t="str">
        <f>TEXT(G802,"mmm")</f>
        <v>Mar</v>
      </c>
      <c r="G802" s="3">
        <v>45004</v>
      </c>
      <c r="H802" s="4" t="s">
        <v>835</v>
      </c>
      <c r="I802" s="4" t="s">
        <v>29</v>
      </c>
      <c r="J802" s="4" t="str" cm="1">
        <f t="array" ref="J802">_xlfn.IFS(K802&lt;30,"Young Adult",K802&lt;=50,"Adult",K802&gt;50,"Senior")</f>
        <v>Adult</v>
      </c>
      <c r="K802" s="4">
        <v>39</v>
      </c>
      <c r="L802" s="4" t="s">
        <v>9</v>
      </c>
      <c r="M802" s="4">
        <v>1</v>
      </c>
      <c r="N802" s="19">
        <v>30</v>
      </c>
      <c r="O802" s="15">
        <f>M802 * N802</f>
        <v>30</v>
      </c>
      <c r="P802" s="15">
        <f>O802*$S$3</f>
        <v>0.44999999999999996</v>
      </c>
      <c r="Q802" s="15">
        <f>O802*$S$4</f>
        <v>0.6</v>
      </c>
    </row>
    <row r="803" spans="1:17">
      <c r="A803" s="2">
        <v>436</v>
      </c>
      <c r="B803" s="4">
        <f>DAY(G803)</f>
        <v>18</v>
      </c>
      <c r="C803" s="4">
        <f>MONTH(G803)</f>
        <v>3</v>
      </c>
      <c r="D803" s="4">
        <f>YEAR(G803)</f>
        <v>2023</v>
      </c>
      <c r="E803" s="4" t="str">
        <f>TEXT(G803,"dddd")</f>
        <v>Saturday</v>
      </c>
      <c r="F803" s="4" t="str">
        <f>TEXT(G803,"mmm")</f>
        <v>Mar</v>
      </c>
      <c r="G803" s="3">
        <v>45003</v>
      </c>
      <c r="H803" s="4" t="s">
        <v>836</v>
      </c>
      <c r="I803" s="4" t="s">
        <v>29</v>
      </c>
      <c r="J803" s="4" t="str" cm="1">
        <f t="array" ref="J803">_xlfn.IFS(K803&lt;30,"Young Adult",K803&lt;=50,"Adult",K803&gt;50,"Senior")</f>
        <v>Senior</v>
      </c>
      <c r="K803" s="4">
        <v>57</v>
      </c>
      <c r="L803" s="4" t="s">
        <v>8</v>
      </c>
      <c r="M803" s="4">
        <v>4</v>
      </c>
      <c r="N803" s="19">
        <v>30</v>
      </c>
      <c r="O803" s="15">
        <f>M803 * N803</f>
        <v>120</v>
      </c>
      <c r="P803" s="15">
        <f>O803*$S$3</f>
        <v>1.7999999999999998</v>
      </c>
      <c r="Q803" s="15">
        <f>O803*$S$4</f>
        <v>2.4</v>
      </c>
    </row>
    <row r="804" spans="1:17">
      <c r="A804" s="2">
        <v>942</v>
      </c>
      <c r="B804" s="4">
        <f>DAY(G804)</f>
        <v>18</v>
      </c>
      <c r="C804" s="4">
        <f>MONTH(G804)</f>
        <v>3</v>
      </c>
      <c r="D804" s="4">
        <f>YEAR(G804)</f>
        <v>2023</v>
      </c>
      <c r="E804" s="4" t="str">
        <f>TEXT(G804,"dddd")</f>
        <v>Saturday</v>
      </c>
      <c r="F804" s="4" t="str">
        <f>TEXT(G804,"mmm")</f>
        <v>Mar</v>
      </c>
      <c r="G804" s="3">
        <v>45003</v>
      </c>
      <c r="H804" s="4" t="s">
        <v>837</v>
      </c>
      <c r="I804" s="4" t="s">
        <v>24</v>
      </c>
      <c r="J804" s="4" t="str" cm="1">
        <f t="array" ref="J804">_xlfn.IFS(K804&lt;30,"Young Adult",K804&lt;=50,"Adult",K804&gt;50,"Senior")</f>
        <v>Senior</v>
      </c>
      <c r="K804" s="4">
        <v>51</v>
      </c>
      <c r="L804" s="4" t="s">
        <v>8</v>
      </c>
      <c r="M804" s="4">
        <v>3</v>
      </c>
      <c r="N804" s="19">
        <v>500</v>
      </c>
      <c r="O804" s="15">
        <f>M804 * N804</f>
        <v>1500</v>
      </c>
      <c r="P804" s="15">
        <f>O804*$S$3</f>
        <v>22.5</v>
      </c>
      <c r="Q804" s="15">
        <f>O804*$S$4</f>
        <v>30</v>
      </c>
    </row>
    <row r="805" spans="1:17">
      <c r="A805" s="2">
        <v>442</v>
      </c>
      <c r="B805" s="4">
        <f>DAY(G805)</f>
        <v>17</v>
      </c>
      <c r="C805" s="4">
        <f>MONTH(G805)</f>
        <v>3</v>
      </c>
      <c r="D805" s="4">
        <f>YEAR(G805)</f>
        <v>2023</v>
      </c>
      <c r="E805" s="4" t="str">
        <f>TEXT(G805,"dddd")</f>
        <v>Friday</v>
      </c>
      <c r="F805" s="4" t="str">
        <f>TEXT(G805,"mmm")</f>
        <v>Mar</v>
      </c>
      <c r="G805" s="3">
        <v>45002</v>
      </c>
      <c r="H805" s="4" t="s">
        <v>838</v>
      </c>
      <c r="I805" s="4" t="s">
        <v>29</v>
      </c>
      <c r="J805" s="4" t="str" cm="1">
        <f t="array" ref="J805">_xlfn.IFS(K805&lt;30,"Young Adult",K805&lt;=50,"Adult",K805&gt;50,"Senior")</f>
        <v>Senior</v>
      </c>
      <c r="K805" s="4">
        <v>60</v>
      </c>
      <c r="L805" s="4" t="s">
        <v>8</v>
      </c>
      <c r="M805" s="4">
        <v>4</v>
      </c>
      <c r="N805" s="19">
        <v>25</v>
      </c>
      <c r="O805" s="15">
        <f>M805 * N805</f>
        <v>100</v>
      </c>
      <c r="P805" s="15">
        <f>O805*$S$3</f>
        <v>1.5</v>
      </c>
      <c r="Q805" s="15">
        <f>O805*$S$4</f>
        <v>2</v>
      </c>
    </row>
    <row r="806" spans="1:17">
      <c r="A806" s="2">
        <v>607</v>
      </c>
      <c r="B806" s="4">
        <f>DAY(G806)</f>
        <v>17</v>
      </c>
      <c r="C806" s="4">
        <f>MONTH(G806)</f>
        <v>3</v>
      </c>
      <c r="D806" s="4">
        <f>YEAR(G806)</f>
        <v>2023</v>
      </c>
      <c r="E806" s="4" t="str">
        <f>TEXT(G806,"dddd")</f>
        <v>Friday</v>
      </c>
      <c r="F806" s="4" t="str">
        <f>TEXT(G806,"mmm")</f>
        <v>Mar</v>
      </c>
      <c r="G806" s="3">
        <v>45002</v>
      </c>
      <c r="H806" s="4" t="s">
        <v>839</v>
      </c>
      <c r="I806" s="4" t="s">
        <v>24</v>
      </c>
      <c r="J806" s="4" t="str" cm="1">
        <f t="array" ref="J806">_xlfn.IFS(K806&lt;30,"Young Adult",K806&lt;=50,"Adult",K806&gt;50,"Senior")</f>
        <v>Senior</v>
      </c>
      <c r="K806" s="4">
        <v>54</v>
      </c>
      <c r="L806" s="4" t="s">
        <v>8</v>
      </c>
      <c r="M806" s="4">
        <v>3</v>
      </c>
      <c r="N806" s="19">
        <v>25</v>
      </c>
      <c r="O806" s="15">
        <f>M806 * N806</f>
        <v>75</v>
      </c>
      <c r="P806" s="15">
        <f>O806*$S$3</f>
        <v>1.125</v>
      </c>
      <c r="Q806" s="15">
        <f>O806*$S$4</f>
        <v>1.5</v>
      </c>
    </row>
    <row r="807" spans="1:17">
      <c r="A807" s="2">
        <v>590</v>
      </c>
      <c r="B807" s="4">
        <f>DAY(G807)</f>
        <v>17</v>
      </c>
      <c r="C807" s="4">
        <f>MONTH(G807)</f>
        <v>3</v>
      </c>
      <c r="D807" s="4">
        <f>YEAR(G807)</f>
        <v>2023</v>
      </c>
      <c r="E807" s="4" t="str">
        <f>TEXT(G807,"dddd")</f>
        <v>Friday</v>
      </c>
      <c r="F807" s="4" t="str">
        <f>TEXT(G807,"mmm")</f>
        <v>Mar</v>
      </c>
      <c r="G807" s="3">
        <v>45002</v>
      </c>
      <c r="H807" s="4" t="s">
        <v>840</v>
      </c>
      <c r="I807" s="4" t="s">
        <v>24</v>
      </c>
      <c r="J807" s="4" t="str" cm="1">
        <f t="array" ref="J807">_xlfn.IFS(K807&lt;30,"Young Adult",K807&lt;=50,"Adult",K807&gt;50,"Senior")</f>
        <v>Adult</v>
      </c>
      <c r="K807" s="4">
        <v>36</v>
      </c>
      <c r="L807" s="4" t="s">
        <v>8</v>
      </c>
      <c r="M807" s="4">
        <v>3</v>
      </c>
      <c r="N807" s="19">
        <v>300</v>
      </c>
      <c r="O807" s="15">
        <f>M807 * N807</f>
        <v>900</v>
      </c>
      <c r="P807" s="15">
        <f>O807*$S$3</f>
        <v>13.5</v>
      </c>
      <c r="Q807" s="15">
        <f>O807*$S$4</f>
        <v>18</v>
      </c>
    </row>
    <row r="808" spans="1:17">
      <c r="A808" s="2">
        <v>117</v>
      </c>
      <c r="B808" s="4">
        <f>DAY(G808)</f>
        <v>15</v>
      </c>
      <c r="C808" s="4">
        <f>MONTH(G808)</f>
        <v>3</v>
      </c>
      <c r="D808" s="4">
        <f>YEAR(G808)</f>
        <v>2023</v>
      </c>
      <c r="E808" s="4" t="str">
        <f>TEXT(G808,"dddd")</f>
        <v>Wednesday</v>
      </c>
      <c r="F808" s="4" t="str">
        <f>TEXT(G808,"mmm")</f>
        <v>Mar</v>
      </c>
      <c r="G808" s="3">
        <v>45000</v>
      </c>
      <c r="H808" s="4" t="s">
        <v>841</v>
      </c>
      <c r="I808" s="4" t="s">
        <v>24</v>
      </c>
      <c r="J808" s="4" t="str" cm="1">
        <f t="array" ref="J808">_xlfn.IFS(K808&lt;30,"Young Adult",K808&lt;=50,"Adult",K808&gt;50,"Senior")</f>
        <v>Young Adult</v>
      </c>
      <c r="K808" s="4">
        <v>19</v>
      </c>
      <c r="L808" s="4" t="s">
        <v>9</v>
      </c>
      <c r="M808" s="4">
        <v>2</v>
      </c>
      <c r="N808" s="19">
        <v>500</v>
      </c>
      <c r="O808" s="15">
        <f>M808 * N808</f>
        <v>1000</v>
      </c>
      <c r="P808" s="15">
        <f>O808*$S$3</f>
        <v>15</v>
      </c>
      <c r="Q808" s="15">
        <f>O808*$S$4</f>
        <v>20</v>
      </c>
    </row>
    <row r="809" spans="1:17">
      <c r="A809" s="2">
        <v>119</v>
      </c>
      <c r="B809" s="4">
        <f>DAY(G809)</f>
        <v>13</v>
      </c>
      <c r="C809" s="4">
        <f>MONTH(G809)</f>
        <v>3</v>
      </c>
      <c r="D809" s="4">
        <f>YEAR(G809)</f>
        <v>2023</v>
      </c>
      <c r="E809" s="4" t="str">
        <f>TEXT(G809,"dddd")</f>
        <v>Monday</v>
      </c>
      <c r="F809" s="4" t="str">
        <f>TEXT(G809,"mmm")</f>
        <v>Mar</v>
      </c>
      <c r="G809" s="3">
        <v>44998</v>
      </c>
      <c r="H809" s="4" t="s">
        <v>842</v>
      </c>
      <c r="I809" s="4" t="s">
        <v>29</v>
      </c>
      <c r="J809" s="4" t="str" cm="1">
        <f t="array" ref="J809">_xlfn.IFS(K809&lt;30,"Young Adult",K809&lt;=50,"Adult",K809&gt;50,"Senior")</f>
        <v>Senior</v>
      </c>
      <c r="K809" s="4">
        <v>60</v>
      </c>
      <c r="L809" s="4" t="s">
        <v>8</v>
      </c>
      <c r="M809" s="4">
        <v>3</v>
      </c>
      <c r="N809" s="19">
        <v>50</v>
      </c>
      <c r="O809" s="15">
        <f>M809 * N809</f>
        <v>150</v>
      </c>
      <c r="P809" s="15">
        <f>O809*$S$3</f>
        <v>2.25</v>
      </c>
      <c r="Q809" s="15">
        <f>O809*$S$4</f>
        <v>3</v>
      </c>
    </row>
    <row r="810" spans="1:17">
      <c r="A810" s="2">
        <v>7</v>
      </c>
      <c r="B810" s="4">
        <f>DAY(G810)</f>
        <v>13</v>
      </c>
      <c r="C810" s="4">
        <f>MONTH(G810)</f>
        <v>3</v>
      </c>
      <c r="D810" s="4">
        <f>YEAR(G810)</f>
        <v>2023</v>
      </c>
      <c r="E810" s="4" t="str">
        <f>TEXT(G810,"dddd")</f>
        <v>Monday</v>
      </c>
      <c r="F810" s="4" t="str">
        <f>TEXT(G810,"mmm")</f>
        <v>Mar</v>
      </c>
      <c r="G810" s="3">
        <v>44998</v>
      </c>
      <c r="H810" s="4" t="s">
        <v>843</v>
      </c>
      <c r="I810" s="4" t="s">
        <v>24</v>
      </c>
      <c r="J810" s="4" t="str" cm="1">
        <f t="array" ref="J810">_xlfn.IFS(K810&lt;30,"Young Adult",K810&lt;=50,"Adult",K810&gt;50,"Senior")</f>
        <v>Adult</v>
      </c>
      <c r="K810" s="4">
        <v>46</v>
      </c>
      <c r="L810" s="4" t="s">
        <v>8</v>
      </c>
      <c r="M810" s="4">
        <v>2</v>
      </c>
      <c r="N810" s="19">
        <v>25</v>
      </c>
      <c r="O810" s="15">
        <f>M810 * N810</f>
        <v>50</v>
      </c>
      <c r="P810" s="15">
        <f>O810*$S$3</f>
        <v>0.75</v>
      </c>
      <c r="Q810" s="15">
        <f>O810*$S$4</f>
        <v>1</v>
      </c>
    </row>
    <row r="811" spans="1:17">
      <c r="A811" s="2">
        <v>278</v>
      </c>
      <c r="B811" s="4">
        <f>DAY(G811)</f>
        <v>13</v>
      </c>
      <c r="C811" s="4">
        <f>MONTH(G811)</f>
        <v>3</v>
      </c>
      <c r="D811" s="4">
        <f>YEAR(G811)</f>
        <v>2023</v>
      </c>
      <c r="E811" s="4" t="str">
        <f>TEXT(G811,"dddd")</f>
        <v>Monday</v>
      </c>
      <c r="F811" s="4" t="str">
        <f>TEXT(G811,"mmm")</f>
        <v>Mar</v>
      </c>
      <c r="G811" s="3">
        <v>44998</v>
      </c>
      <c r="H811" s="4" t="s">
        <v>844</v>
      </c>
      <c r="I811" s="4" t="s">
        <v>29</v>
      </c>
      <c r="J811" s="4" t="str" cm="1">
        <f t="array" ref="J811">_xlfn.IFS(K811&lt;30,"Young Adult",K811&lt;=50,"Adult",K811&gt;50,"Senior")</f>
        <v>Adult</v>
      </c>
      <c r="K811" s="4">
        <v>37</v>
      </c>
      <c r="L811" s="4" t="s">
        <v>8</v>
      </c>
      <c r="M811" s="4">
        <v>4</v>
      </c>
      <c r="N811" s="19">
        <v>25</v>
      </c>
      <c r="O811" s="15">
        <f>M811 * N811</f>
        <v>100</v>
      </c>
      <c r="P811" s="15">
        <f>O811*$S$3</f>
        <v>1.5</v>
      </c>
      <c r="Q811" s="15">
        <f>O811*$S$4</f>
        <v>2</v>
      </c>
    </row>
    <row r="812" spans="1:17">
      <c r="A812" s="2">
        <v>658</v>
      </c>
      <c r="B812" s="4">
        <f>DAY(G812)</f>
        <v>12</v>
      </c>
      <c r="C812" s="4">
        <f>MONTH(G812)</f>
        <v>3</v>
      </c>
      <c r="D812" s="4">
        <f>YEAR(G812)</f>
        <v>2023</v>
      </c>
      <c r="E812" s="4" t="str">
        <f>TEXT(G812,"dddd")</f>
        <v>Sunday</v>
      </c>
      <c r="F812" s="4" t="str">
        <f>TEXT(G812,"mmm")</f>
        <v>Mar</v>
      </c>
      <c r="G812" s="3">
        <v>44997</v>
      </c>
      <c r="H812" s="4" t="s">
        <v>845</v>
      </c>
      <c r="I812" s="4" t="s">
        <v>24</v>
      </c>
      <c r="J812" s="4" t="str" cm="1">
        <f t="array" ref="J812">_xlfn.IFS(K812&lt;30,"Young Adult",K812&lt;=50,"Adult",K812&gt;50,"Senior")</f>
        <v>Senior</v>
      </c>
      <c r="K812" s="4">
        <v>59</v>
      </c>
      <c r="L812" s="4" t="s">
        <v>8</v>
      </c>
      <c r="M812" s="4">
        <v>1</v>
      </c>
      <c r="N812" s="19">
        <v>25</v>
      </c>
      <c r="O812" s="15">
        <f>M812 * N812</f>
        <v>25</v>
      </c>
      <c r="P812" s="15">
        <f>O812*$S$3</f>
        <v>0.375</v>
      </c>
      <c r="Q812" s="15">
        <f>O812*$S$4</f>
        <v>0.5</v>
      </c>
    </row>
    <row r="813" spans="1:17">
      <c r="A813" s="2">
        <v>130</v>
      </c>
      <c r="B813" s="4">
        <f>DAY(G813)</f>
        <v>12</v>
      </c>
      <c r="C813" s="4">
        <f>MONTH(G813)</f>
        <v>3</v>
      </c>
      <c r="D813" s="4">
        <f>YEAR(G813)</f>
        <v>2023</v>
      </c>
      <c r="E813" s="4" t="str">
        <f>TEXT(G813,"dddd")</f>
        <v>Sunday</v>
      </c>
      <c r="F813" s="4" t="str">
        <f>TEXT(G813,"mmm")</f>
        <v>Mar</v>
      </c>
      <c r="G813" s="3">
        <v>44997</v>
      </c>
      <c r="H813" s="4" t="s">
        <v>846</v>
      </c>
      <c r="I813" s="4" t="s">
        <v>29</v>
      </c>
      <c r="J813" s="4" t="str" cm="1">
        <f t="array" ref="J813">_xlfn.IFS(K813&lt;30,"Young Adult",K813&lt;=50,"Adult",K813&gt;50,"Senior")</f>
        <v>Senior</v>
      </c>
      <c r="K813" s="4">
        <v>57</v>
      </c>
      <c r="L813" s="4" t="s">
        <v>8</v>
      </c>
      <c r="M813" s="4">
        <v>1</v>
      </c>
      <c r="N813" s="19">
        <v>500</v>
      </c>
      <c r="O813" s="15">
        <f>M813 * N813</f>
        <v>500</v>
      </c>
      <c r="P813" s="15">
        <f>O813*$S$3</f>
        <v>7.5</v>
      </c>
      <c r="Q813" s="15">
        <f>O813*$S$4</f>
        <v>10</v>
      </c>
    </row>
    <row r="814" spans="1:17">
      <c r="A814" s="2">
        <v>717</v>
      </c>
      <c r="B814" s="4">
        <f>DAY(G814)</f>
        <v>11</v>
      </c>
      <c r="C814" s="4">
        <f>MONTH(G814)</f>
        <v>3</v>
      </c>
      <c r="D814" s="4">
        <f>YEAR(G814)</f>
        <v>2023</v>
      </c>
      <c r="E814" s="4" t="str">
        <f>TEXT(G814,"dddd")</f>
        <v>Saturday</v>
      </c>
      <c r="F814" s="4" t="str">
        <f>TEXT(G814,"mmm")</f>
        <v>Mar</v>
      </c>
      <c r="G814" s="3">
        <v>44996</v>
      </c>
      <c r="H814" s="4" t="s">
        <v>847</v>
      </c>
      <c r="I814" s="4" t="s">
        <v>24</v>
      </c>
      <c r="J814" s="4" t="str" cm="1">
        <f t="array" ref="J814">_xlfn.IFS(K814&lt;30,"Young Adult",K814&lt;=50,"Adult",K814&gt;50,"Senior")</f>
        <v>Senior</v>
      </c>
      <c r="K814" s="4">
        <v>57</v>
      </c>
      <c r="L814" s="4" t="s">
        <v>8</v>
      </c>
      <c r="M814" s="4">
        <v>1</v>
      </c>
      <c r="N814" s="19">
        <v>500</v>
      </c>
      <c r="O814" s="15">
        <f>M814 * N814</f>
        <v>500</v>
      </c>
      <c r="P814" s="15">
        <f>O814*$S$3</f>
        <v>7.5</v>
      </c>
      <c r="Q814" s="15">
        <f>O814*$S$4</f>
        <v>10</v>
      </c>
    </row>
    <row r="815" spans="1:17">
      <c r="A815" s="2">
        <v>623</v>
      </c>
      <c r="B815" s="4">
        <f>DAY(G815)</f>
        <v>10</v>
      </c>
      <c r="C815" s="4">
        <f>MONTH(G815)</f>
        <v>3</v>
      </c>
      <c r="D815" s="4">
        <f>YEAR(G815)</f>
        <v>2023</v>
      </c>
      <c r="E815" s="4" t="str">
        <f>TEXT(G815,"dddd")</f>
        <v>Friday</v>
      </c>
      <c r="F815" s="4" t="str">
        <f>TEXT(G815,"mmm")</f>
        <v>Mar</v>
      </c>
      <c r="G815" s="3">
        <v>44995</v>
      </c>
      <c r="H815" s="4" t="s">
        <v>848</v>
      </c>
      <c r="I815" s="4" t="s">
        <v>24</v>
      </c>
      <c r="J815" s="4" t="str" cm="1">
        <f t="array" ref="J815">_xlfn.IFS(K815&lt;30,"Young Adult",K815&lt;=50,"Adult",K815&gt;50,"Senior")</f>
        <v>Adult</v>
      </c>
      <c r="K815" s="4">
        <v>34</v>
      </c>
      <c r="L815" s="4" t="s">
        <v>8</v>
      </c>
      <c r="M815" s="4">
        <v>3</v>
      </c>
      <c r="N815" s="19">
        <v>50</v>
      </c>
      <c r="O815" s="15">
        <f>M815 * N815</f>
        <v>150</v>
      </c>
      <c r="P815" s="15">
        <f>O815*$S$3</f>
        <v>2.25</v>
      </c>
      <c r="Q815" s="15">
        <f>O815*$S$4</f>
        <v>3</v>
      </c>
    </row>
    <row r="816" spans="1:17">
      <c r="A816" s="2">
        <v>397</v>
      </c>
      <c r="B816" s="4">
        <f>DAY(G816)</f>
        <v>10</v>
      </c>
      <c r="C816" s="4">
        <f>MONTH(G816)</f>
        <v>3</v>
      </c>
      <c r="D816" s="4">
        <f>YEAR(G816)</f>
        <v>2023</v>
      </c>
      <c r="E816" s="4" t="str">
        <f>TEXT(G816,"dddd")</f>
        <v>Friday</v>
      </c>
      <c r="F816" s="4" t="str">
        <f>TEXT(G816,"mmm")</f>
        <v>Mar</v>
      </c>
      <c r="G816" s="3">
        <v>44995</v>
      </c>
      <c r="H816" s="4" t="s">
        <v>849</v>
      </c>
      <c r="I816" s="4" t="s">
        <v>29</v>
      </c>
      <c r="J816" s="4" t="str" cm="1">
        <f t="array" ref="J816">_xlfn.IFS(K816&lt;30,"Young Adult",K816&lt;=50,"Adult",K816&gt;50,"Senior")</f>
        <v>Adult</v>
      </c>
      <c r="K816" s="4">
        <v>30</v>
      </c>
      <c r="L816" s="4" t="s">
        <v>7</v>
      </c>
      <c r="M816" s="4">
        <v>1</v>
      </c>
      <c r="N816" s="19">
        <v>25</v>
      </c>
      <c r="O816" s="15">
        <f>M816 * N816</f>
        <v>25</v>
      </c>
      <c r="P816" s="15">
        <f>O816*$S$3</f>
        <v>0.375</v>
      </c>
      <c r="Q816" s="15">
        <f>O816*$S$4</f>
        <v>0.5</v>
      </c>
    </row>
    <row r="817" spans="1:17">
      <c r="A817" s="2">
        <v>377</v>
      </c>
      <c r="B817" s="4">
        <f>DAY(G817)</f>
        <v>9</v>
      </c>
      <c r="C817" s="4">
        <f>MONTH(G817)</f>
        <v>3</v>
      </c>
      <c r="D817" s="4">
        <f>YEAR(G817)</f>
        <v>2023</v>
      </c>
      <c r="E817" s="4" t="str">
        <f>TEXT(G817,"dddd")</f>
        <v>Thursday</v>
      </c>
      <c r="F817" s="4" t="str">
        <f>TEXT(G817,"mmm")</f>
        <v>Mar</v>
      </c>
      <c r="G817" s="3">
        <v>44994</v>
      </c>
      <c r="H817" s="4" t="s">
        <v>850</v>
      </c>
      <c r="I817" s="4" t="s">
        <v>29</v>
      </c>
      <c r="J817" s="4" t="str" cm="1">
        <f t="array" ref="J817">_xlfn.IFS(K817&lt;30,"Young Adult",K817&lt;=50,"Adult",K817&gt;50,"Senior")</f>
        <v>Adult</v>
      </c>
      <c r="K817" s="4">
        <v>46</v>
      </c>
      <c r="L817" s="4" t="s">
        <v>8</v>
      </c>
      <c r="M817" s="4">
        <v>4</v>
      </c>
      <c r="N817" s="19">
        <v>50</v>
      </c>
      <c r="O817" s="15">
        <f>M817 * N817</f>
        <v>200</v>
      </c>
      <c r="P817" s="15">
        <f>O817*$S$3</f>
        <v>3</v>
      </c>
      <c r="Q817" s="15">
        <f>O817*$S$4</f>
        <v>4</v>
      </c>
    </row>
    <row r="818" spans="1:17">
      <c r="A818" s="2">
        <v>360</v>
      </c>
      <c r="B818" s="4">
        <f>DAY(G818)</f>
        <v>9</v>
      </c>
      <c r="C818" s="4">
        <f>MONTH(G818)</f>
        <v>3</v>
      </c>
      <c r="D818" s="4">
        <f>YEAR(G818)</f>
        <v>2023</v>
      </c>
      <c r="E818" s="4" t="str">
        <f>TEXT(G818,"dddd")</f>
        <v>Thursday</v>
      </c>
      <c r="F818" s="4" t="str">
        <f>TEXT(G818,"mmm")</f>
        <v>Mar</v>
      </c>
      <c r="G818" s="3">
        <v>44994</v>
      </c>
      <c r="H818" s="4" t="s">
        <v>851</v>
      </c>
      <c r="I818" s="4" t="s">
        <v>24</v>
      </c>
      <c r="J818" s="4" t="str" cm="1">
        <f t="array" ref="J818">_xlfn.IFS(K818&lt;30,"Young Adult",K818&lt;=50,"Adult",K818&gt;50,"Senior")</f>
        <v>Adult</v>
      </c>
      <c r="K818" s="4">
        <v>42</v>
      </c>
      <c r="L818" s="4" t="s">
        <v>8</v>
      </c>
      <c r="M818" s="4">
        <v>4</v>
      </c>
      <c r="N818" s="19">
        <v>25</v>
      </c>
      <c r="O818" s="15">
        <f>M818 * N818</f>
        <v>100</v>
      </c>
      <c r="P818" s="15">
        <f>O818*$S$3</f>
        <v>1.5</v>
      </c>
      <c r="Q818" s="15">
        <f>O818*$S$4</f>
        <v>2</v>
      </c>
    </row>
    <row r="819" spans="1:17">
      <c r="A819" s="2">
        <v>248</v>
      </c>
      <c r="B819" s="4">
        <f>DAY(G819)</f>
        <v>9</v>
      </c>
      <c r="C819" s="4">
        <f>MONTH(G819)</f>
        <v>3</v>
      </c>
      <c r="D819" s="4">
        <f>YEAR(G819)</f>
        <v>2023</v>
      </c>
      <c r="E819" s="4" t="str">
        <f>TEXT(G819,"dddd")</f>
        <v>Thursday</v>
      </c>
      <c r="F819" s="4" t="str">
        <f>TEXT(G819,"mmm")</f>
        <v>Mar</v>
      </c>
      <c r="G819" s="3">
        <v>44994</v>
      </c>
      <c r="H819" s="4" t="s">
        <v>852</v>
      </c>
      <c r="I819" s="4" t="s">
        <v>24</v>
      </c>
      <c r="J819" s="4" t="str" cm="1">
        <f t="array" ref="J819">_xlfn.IFS(K819&lt;30,"Young Adult",K819&lt;=50,"Adult",K819&gt;50,"Senior")</f>
        <v>Young Adult</v>
      </c>
      <c r="K819" s="4">
        <v>26</v>
      </c>
      <c r="L819" s="4" t="s">
        <v>8</v>
      </c>
      <c r="M819" s="4">
        <v>3</v>
      </c>
      <c r="N819" s="19">
        <v>300</v>
      </c>
      <c r="O819" s="15">
        <f>M819 * N819</f>
        <v>900</v>
      </c>
      <c r="P819" s="15">
        <f>O819*$S$3</f>
        <v>13.5</v>
      </c>
      <c r="Q819" s="15">
        <f>O819*$S$4</f>
        <v>18</v>
      </c>
    </row>
    <row r="820" spans="1:17">
      <c r="A820" s="2">
        <v>423</v>
      </c>
      <c r="B820" s="4">
        <f>DAY(G820)</f>
        <v>8</v>
      </c>
      <c r="C820" s="4">
        <f>MONTH(G820)</f>
        <v>3</v>
      </c>
      <c r="D820" s="4">
        <f>YEAR(G820)</f>
        <v>2023</v>
      </c>
      <c r="E820" s="4" t="str">
        <f>TEXT(G820,"dddd")</f>
        <v>Wednesday</v>
      </c>
      <c r="F820" s="4" t="str">
        <f>TEXT(G820,"mmm")</f>
        <v>Mar</v>
      </c>
      <c r="G820" s="3">
        <v>44993</v>
      </c>
      <c r="H820" s="4" t="s">
        <v>853</v>
      </c>
      <c r="I820" s="4" t="s">
        <v>29</v>
      </c>
      <c r="J820" s="4" t="str" cm="1">
        <f t="array" ref="J820">_xlfn.IFS(K820&lt;30,"Young Adult",K820&lt;=50,"Adult",K820&gt;50,"Senior")</f>
        <v>Young Adult</v>
      </c>
      <c r="K820" s="4">
        <v>27</v>
      </c>
      <c r="L820" s="4" t="s">
        <v>8</v>
      </c>
      <c r="M820" s="4">
        <v>1</v>
      </c>
      <c r="N820" s="19">
        <v>25</v>
      </c>
      <c r="O820" s="15">
        <f>M820 * N820</f>
        <v>25</v>
      </c>
      <c r="P820" s="15">
        <f>O820*$S$3</f>
        <v>0.375</v>
      </c>
      <c r="Q820" s="15">
        <f>O820*$S$4</f>
        <v>0.5</v>
      </c>
    </row>
    <row r="821" spans="1:17">
      <c r="A821" s="2">
        <v>547</v>
      </c>
      <c r="B821" s="4">
        <f>DAY(G821)</f>
        <v>7</v>
      </c>
      <c r="C821" s="4">
        <f>MONTH(G821)</f>
        <v>3</v>
      </c>
      <c r="D821" s="4">
        <f>YEAR(G821)</f>
        <v>2023</v>
      </c>
      <c r="E821" s="4" t="str">
        <f>TEXT(G821,"dddd")</f>
        <v>Tuesday</v>
      </c>
      <c r="F821" s="4" t="str">
        <f>TEXT(G821,"mmm")</f>
        <v>Mar</v>
      </c>
      <c r="G821" s="3">
        <v>44992</v>
      </c>
      <c r="H821" s="4" t="s">
        <v>854</v>
      </c>
      <c r="I821" s="4" t="s">
        <v>24</v>
      </c>
      <c r="J821" s="4" t="str" cm="1">
        <f t="array" ref="J821">_xlfn.IFS(K821&lt;30,"Young Adult",K821&lt;=50,"Adult",K821&gt;50,"Senior")</f>
        <v>Senior</v>
      </c>
      <c r="K821" s="4">
        <v>63</v>
      </c>
      <c r="L821" s="4" t="s">
        <v>8</v>
      </c>
      <c r="M821" s="4">
        <v>4</v>
      </c>
      <c r="N821" s="19">
        <v>500</v>
      </c>
      <c r="O821" s="15">
        <f>M821 * N821</f>
        <v>2000</v>
      </c>
      <c r="P821" s="15">
        <f>O821*$S$3</f>
        <v>30</v>
      </c>
      <c r="Q821" s="15">
        <f>O821*$S$4</f>
        <v>40</v>
      </c>
    </row>
    <row r="822" spans="1:17">
      <c r="A822" s="2">
        <v>444</v>
      </c>
      <c r="B822" s="4">
        <f>DAY(G822)</f>
        <v>7</v>
      </c>
      <c r="C822" s="4">
        <f>MONTH(G822)</f>
        <v>3</v>
      </c>
      <c r="D822" s="4">
        <f>YEAR(G822)</f>
        <v>2023</v>
      </c>
      <c r="E822" s="4" t="str">
        <f>TEXT(G822,"dddd")</f>
        <v>Tuesday</v>
      </c>
      <c r="F822" s="4" t="str">
        <f>TEXT(G822,"mmm")</f>
        <v>Mar</v>
      </c>
      <c r="G822" s="3">
        <v>44992</v>
      </c>
      <c r="H822" s="4" t="s">
        <v>855</v>
      </c>
      <c r="I822" s="4" t="s">
        <v>29</v>
      </c>
      <c r="J822" s="4" t="str" cm="1">
        <f t="array" ref="J822">_xlfn.IFS(K822&lt;30,"Young Adult",K822&lt;=50,"Adult",K822&gt;50,"Senior")</f>
        <v>Senior</v>
      </c>
      <c r="K822" s="4">
        <v>61</v>
      </c>
      <c r="L822" s="4" t="s">
        <v>8</v>
      </c>
      <c r="M822" s="4">
        <v>3</v>
      </c>
      <c r="N822" s="19">
        <v>30</v>
      </c>
      <c r="O822" s="15">
        <f>M822 * N822</f>
        <v>90</v>
      </c>
      <c r="P822" s="15">
        <f>O822*$S$3</f>
        <v>1.3499999999999999</v>
      </c>
      <c r="Q822" s="15">
        <f>O822*$S$4</f>
        <v>1.8</v>
      </c>
    </row>
    <row r="823" spans="1:17">
      <c r="A823" s="2">
        <v>705</v>
      </c>
      <c r="B823" s="4">
        <f>DAY(G823)</f>
        <v>7</v>
      </c>
      <c r="C823" s="4">
        <f>MONTH(G823)</f>
        <v>3</v>
      </c>
      <c r="D823" s="4">
        <f>YEAR(G823)</f>
        <v>2023</v>
      </c>
      <c r="E823" s="4" t="str">
        <f>TEXT(G823,"dddd")</f>
        <v>Tuesday</v>
      </c>
      <c r="F823" s="4" t="str">
        <f>TEXT(G823,"mmm")</f>
        <v>Mar</v>
      </c>
      <c r="G823" s="3">
        <v>44992</v>
      </c>
      <c r="H823" s="4" t="s">
        <v>856</v>
      </c>
      <c r="I823" s="4" t="s">
        <v>24</v>
      </c>
      <c r="J823" s="4" t="str" cm="1">
        <f t="array" ref="J823">_xlfn.IFS(K823&lt;30,"Young Adult",K823&lt;=50,"Adult",K823&gt;50,"Senior")</f>
        <v>Senior</v>
      </c>
      <c r="K823" s="4">
        <v>60</v>
      </c>
      <c r="L823" s="4" t="s">
        <v>9</v>
      </c>
      <c r="M823" s="4">
        <v>2</v>
      </c>
      <c r="N823" s="19">
        <v>25</v>
      </c>
      <c r="O823" s="15">
        <f>M823 * N823</f>
        <v>50</v>
      </c>
      <c r="P823" s="15">
        <f>O823*$S$3</f>
        <v>0.75</v>
      </c>
      <c r="Q823" s="15">
        <f>O823*$S$4</f>
        <v>1</v>
      </c>
    </row>
    <row r="824" spans="1:17">
      <c r="A824" s="2">
        <v>198</v>
      </c>
      <c r="B824" s="4">
        <f>DAY(G824)</f>
        <v>7</v>
      </c>
      <c r="C824" s="4">
        <f>MONTH(G824)</f>
        <v>3</v>
      </c>
      <c r="D824" s="4">
        <f>YEAR(G824)</f>
        <v>2023</v>
      </c>
      <c r="E824" s="4" t="str">
        <f>TEXT(G824,"dddd")</f>
        <v>Tuesday</v>
      </c>
      <c r="F824" s="4" t="str">
        <f>TEXT(G824,"mmm")</f>
        <v>Mar</v>
      </c>
      <c r="G824" s="3">
        <v>44992</v>
      </c>
      <c r="H824" s="4" t="s">
        <v>857</v>
      </c>
      <c r="I824" s="4" t="s">
        <v>29</v>
      </c>
      <c r="J824" s="4" t="str" cm="1">
        <f t="array" ref="J824">_xlfn.IFS(K824&lt;30,"Young Adult",K824&lt;=50,"Adult",K824&gt;50,"Senior")</f>
        <v>Senior</v>
      </c>
      <c r="K824" s="4">
        <v>54</v>
      </c>
      <c r="L824" s="4" t="s">
        <v>7</v>
      </c>
      <c r="M824" s="4">
        <v>3</v>
      </c>
      <c r="N824" s="19">
        <v>300</v>
      </c>
      <c r="O824" s="15">
        <f>M824 * N824</f>
        <v>900</v>
      </c>
      <c r="P824" s="15">
        <f>O824*$S$3</f>
        <v>13.5</v>
      </c>
      <c r="Q824" s="15">
        <f>O824*$S$4</f>
        <v>18</v>
      </c>
    </row>
    <row r="825" spans="1:17">
      <c r="A825" s="2">
        <v>917</v>
      </c>
      <c r="B825" s="4">
        <f>DAY(G825)</f>
        <v>6</v>
      </c>
      <c r="C825" s="4">
        <f>MONTH(G825)</f>
        <v>3</v>
      </c>
      <c r="D825" s="4">
        <f>YEAR(G825)</f>
        <v>2023</v>
      </c>
      <c r="E825" s="4" t="str">
        <f>TEXT(G825,"dddd")</f>
        <v>Monday</v>
      </c>
      <c r="F825" s="4" t="str">
        <f>TEXT(G825,"mmm")</f>
        <v>Mar</v>
      </c>
      <c r="G825" s="3">
        <v>44991</v>
      </c>
      <c r="H825" s="4" t="s">
        <v>858</v>
      </c>
      <c r="I825" s="4" t="s">
        <v>29</v>
      </c>
      <c r="J825" s="4" t="str" cm="1">
        <f t="array" ref="J825">_xlfn.IFS(K825&lt;30,"Young Adult",K825&lt;=50,"Adult",K825&gt;50,"Senior")</f>
        <v>Senior</v>
      </c>
      <c r="K825" s="4">
        <v>57</v>
      </c>
      <c r="L825" s="4" t="s">
        <v>9</v>
      </c>
      <c r="M825" s="4">
        <v>4</v>
      </c>
      <c r="N825" s="19">
        <v>50</v>
      </c>
      <c r="O825" s="15">
        <f>M825 * N825</f>
        <v>200</v>
      </c>
      <c r="P825" s="15">
        <f>O825*$S$3</f>
        <v>3</v>
      </c>
      <c r="Q825" s="15">
        <f>O825*$S$4</f>
        <v>4</v>
      </c>
    </row>
    <row r="826" spans="1:17">
      <c r="A826" s="2">
        <v>197</v>
      </c>
      <c r="B826" s="4">
        <f>DAY(G826)</f>
        <v>6</v>
      </c>
      <c r="C826" s="4">
        <f>MONTH(G826)</f>
        <v>3</v>
      </c>
      <c r="D826" s="4">
        <f>YEAR(G826)</f>
        <v>2023</v>
      </c>
      <c r="E826" s="4" t="str">
        <f>TEXT(G826,"dddd")</f>
        <v>Monday</v>
      </c>
      <c r="F826" s="4" t="str">
        <f>TEXT(G826,"mmm")</f>
        <v>Mar</v>
      </c>
      <c r="G826" s="3">
        <v>44991</v>
      </c>
      <c r="H826" s="4" t="s">
        <v>859</v>
      </c>
      <c r="I826" s="4" t="s">
        <v>29</v>
      </c>
      <c r="J826" s="4" t="str" cm="1">
        <f t="array" ref="J826">_xlfn.IFS(K826&lt;30,"Young Adult",K826&lt;=50,"Adult",K826&gt;50,"Senior")</f>
        <v>Adult</v>
      </c>
      <c r="K826" s="4">
        <v>42</v>
      </c>
      <c r="L826" s="4" t="s">
        <v>8</v>
      </c>
      <c r="M826" s="4">
        <v>4</v>
      </c>
      <c r="N826" s="19">
        <v>50</v>
      </c>
      <c r="O826" s="15">
        <f>M826 * N826</f>
        <v>200</v>
      </c>
      <c r="P826" s="15">
        <f>O826*$S$3</f>
        <v>3</v>
      </c>
      <c r="Q826" s="15">
        <f>O826*$S$4</f>
        <v>4</v>
      </c>
    </row>
    <row r="827" spans="1:17">
      <c r="A827" s="2">
        <v>750</v>
      </c>
      <c r="B827" s="4">
        <f>DAY(G827)</f>
        <v>6</v>
      </c>
      <c r="C827" s="4">
        <f>MONTH(G827)</f>
        <v>3</v>
      </c>
      <c r="D827" s="4">
        <f>YEAR(G827)</f>
        <v>2023</v>
      </c>
      <c r="E827" s="4" t="str">
        <f>TEXT(G827,"dddd")</f>
        <v>Monday</v>
      </c>
      <c r="F827" s="4" t="str">
        <f>TEXT(G827,"mmm")</f>
        <v>Mar</v>
      </c>
      <c r="G827" s="3">
        <v>44991</v>
      </c>
      <c r="H827" s="4" t="s">
        <v>860</v>
      </c>
      <c r="I827" s="4" t="s">
        <v>29</v>
      </c>
      <c r="J827" s="4" t="str" cm="1">
        <f t="array" ref="J827">_xlfn.IFS(K827&lt;30,"Young Adult",K827&lt;=50,"Adult",K827&gt;50,"Senior")</f>
        <v>Adult</v>
      </c>
      <c r="K827" s="4">
        <v>35</v>
      </c>
      <c r="L827" s="4" t="s">
        <v>8</v>
      </c>
      <c r="M827" s="4">
        <v>3</v>
      </c>
      <c r="N827" s="19">
        <v>25</v>
      </c>
      <c r="O827" s="15">
        <f>M827 * N827</f>
        <v>75</v>
      </c>
      <c r="P827" s="15">
        <f>O827*$S$3</f>
        <v>1.125</v>
      </c>
      <c r="Q827" s="15">
        <f>O827*$S$4</f>
        <v>1.5</v>
      </c>
    </row>
    <row r="828" spans="1:17">
      <c r="A828" s="2">
        <v>910</v>
      </c>
      <c r="B828" s="4">
        <f>DAY(G828)</f>
        <v>6</v>
      </c>
      <c r="C828" s="4">
        <f>MONTH(G828)</f>
        <v>3</v>
      </c>
      <c r="D828" s="4">
        <f>YEAR(G828)</f>
        <v>2023</v>
      </c>
      <c r="E828" s="4" t="str">
        <f>TEXT(G828,"dddd")</f>
        <v>Monday</v>
      </c>
      <c r="F828" s="4" t="str">
        <f>TEXT(G828,"mmm")</f>
        <v>Mar</v>
      </c>
      <c r="G828" s="3">
        <v>44991</v>
      </c>
      <c r="H828" s="4" t="s">
        <v>861</v>
      </c>
      <c r="I828" s="4" t="s">
        <v>29</v>
      </c>
      <c r="J828" s="4" t="str" cm="1">
        <f t="array" ref="J828">_xlfn.IFS(K828&lt;30,"Young Adult",K828&lt;=50,"Adult",K828&gt;50,"Senior")</f>
        <v>Young Adult</v>
      </c>
      <c r="K828" s="4">
        <v>20</v>
      </c>
      <c r="L828" s="4" t="s">
        <v>7</v>
      </c>
      <c r="M828" s="4">
        <v>3</v>
      </c>
      <c r="N828" s="19">
        <v>50</v>
      </c>
      <c r="O828" s="15">
        <f>M828 * N828</f>
        <v>150</v>
      </c>
      <c r="P828" s="15">
        <f>O828*$S$3</f>
        <v>2.25</v>
      </c>
      <c r="Q828" s="15">
        <f>O828*$S$4</f>
        <v>3</v>
      </c>
    </row>
    <row r="829" spans="1:17">
      <c r="A829" s="2">
        <v>536</v>
      </c>
      <c r="B829" s="4">
        <f>DAY(G829)</f>
        <v>5</v>
      </c>
      <c r="C829" s="4">
        <f>MONTH(G829)</f>
        <v>3</v>
      </c>
      <c r="D829" s="4">
        <f>YEAR(G829)</f>
        <v>2023</v>
      </c>
      <c r="E829" s="4" t="str">
        <f>TEXT(G829,"dddd")</f>
        <v>Sunday</v>
      </c>
      <c r="F829" s="4" t="str">
        <f>TEXT(G829,"mmm")</f>
        <v>Mar</v>
      </c>
      <c r="G829" s="3">
        <v>44990</v>
      </c>
      <c r="H829" s="4" t="s">
        <v>862</v>
      </c>
      <c r="I829" s="4" t="s">
        <v>29</v>
      </c>
      <c r="J829" s="4" t="str" cm="1">
        <f t="array" ref="J829">_xlfn.IFS(K829&lt;30,"Young Adult",K829&lt;=50,"Adult",K829&gt;50,"Senior")</f>
        <v>Senior</v>
      </c>
      <c r="K829" s="4">
        <v>55</v>
      </c>
      <c r="L829" s="4" t="s">
        <v>7</v>
      </c>
      <c r="M829" s="4">
        <v>4</v>
      </c>
      <c r="N829" s="19">
        <v>30</v>
      </c>
      <c r="O829" s="15">
        <f>M829 * N829</f>
        <v>120</v>
      </c>
      <c r="P829" s="15">
        <f>O829*$S$3</f>
        <v>1.7999999999999998</v>
      </c>
      <c r="Q829" s="15">
        <f>O829*$S$4</f>
        <v>2.4</v>
      </c>
    </row>
    <row r="830" spans="1:17">
      <c r="A830" s="2">
        <v>52</v>
      </c>
      <c r="B830" s="4">
        <f>DAY(G830)</f>
        <v>5</v>
      </c>
      <c r="C830" s="4">
        <f>MONTH(G830)</f>
        <v>3</v>
      </c>
      <c r="D830" s="4">
        <f>YEAR(G830)</f>
        <v>2023</v>
      </c>
      <c r="E830" s="4" t="str">
        <f>TEXT(G830,"dddd")</f>
        <v>Sunday</v>
      </c>
      <c r="F830" s="4" t="str">
        <f>TEXT(G830,"mmm")</f>
        <v>Mar</v>
      </c>
      <c r="G830" s="3">
        <v>44990</v>
      </c>
      <c r="H830" s="4" t="s">
        <v>863</v>
      </c>
      <c r="I830" s="4" t="s">
        <v>29</v>
      </c>
      <c r="J830" s="4" t="str" cm="1">
        <f t="array" ref="J830">_xlfn.IFS(K830&lt;30,"Young Adult",K830&lt;=50,"Adult",K830&gt;50,"Senior")</f>
        <v>Adult</v>
      </c>
      <c r="K830" s="4">
        <v>36</v>
      </c>
      <c r="L830" s="4" t="s">
        <v>7</v>
      </c>
      <c r="M830" s="4">
        <v>1</v>
      </c>
      <c r="N830" s="19">
        <v>300</v>
      </c>
      <c r="O830" s="15">
        <f>M830 * N830</f>
        <v>300</v>
      </c>
      <c r="P830" s="15">
        <f>O830*$S$3</f>
        <v>4.5</v>
      </c>
      <c r="Q830" s="15">
        <f>O830*$S$4</f>
        <v>6</v>
      </c>
    </row>
    <row r="831" spans="1:17">
      <c r="A831" s="2">
        <v>621</v>
      </c>
      <c r="B831" s="4">
        <f>DAY(G831)</f>
        <v>4</v>
      </c>
      <c r="C831" s="4">
        <f>MONTH(G831)</f>
        <v>3</v>
      </c>
      <c r="D831" s="4">
        <f>YEAR(G831)</f>
        <v>2023</v>
      </c>
      <c r="E831" s="4" t="str">
        <f>TEXT(G831,"dddd")</f>
        <v>Saturday</v>
      </c>
      <c r="F831" s="4" t="str">
        <f>TEXT(G831,"mmm")</f>
        <v>Mar</v>
      </c>
      <c r="G831" s="3">
        <v>44989</v>
      </c>
      <c r="H831" s="4" t="s">
        <v>864</v>
      </c>
      <c r="I831" s="4" t="s">
        <v>29</v>
      </c>
      <c r="J831" s="4" t="str" cm="1">
        <f t="array" ref="J831">_xlfn.IFS(K831&lt;30,"Young Adult",K831&lt;=50,"Adult",K831&gt;50,"Senior")</f>
        <v>Adult</v>
      </c>
      <c r="K831" s="4">
        <v>40</v>
      </c>
      <c r="L831" s="4" t="s">
        <v>7</v>
      </c>
      <c r="M831" s="4">
        <v>2</v>
      </c>
      <c r="N831" s="19">
        <v>500</v>
      </c>
      <c r="O831" s="15">
        <f>M831 * N831</f>
        <v>1000</v>
      </c>
      <c r="P831" s="15">
        <f>O831*$S$3</f>
        <v>15</v>
      </c>
      <c r="Q831" s="15">
        <f>O831*$S$4</f>
        <v>20</v>
      </c>
    </row>
    <row r="832" spans="1:17">
      <c r="A832" s="2">
        <v>220</v>
      </c>
      <c r="B832" s="4">
        <f>DAY(G832)</f>
        <v>3</v>
      </c>
      <c r="C832" s="4">
        <f>MONTH(G832)</f>
        <v>3</v>
      </c>
      <c r="D832" s="4">
        <f>YEAR(G832)</f>
        <v>2023</v>
      </c>
      <c r="E832" s="4" t="str">
        <f>TEXT(G832,"dddd")</f>
        <v>Friday</v>
      </c>
      <c r="F832" s="4" t="str">
        <f>TEXT(G832,"mmm")</f>
        <v>Mar</v>
      </c>
      <c r="G832" s="3">
        <v>44988</v>
      </c>
      <c r="H832" s="4" t="s">
        <v>865</v>
      </c>
      <c r="I832" s="4" t="s">
        <v>24</v>
      </c>
      <c r="J832" s="4" t="str" cm="1">
        <f t="array" ref="J832">_xlfn.IFS(K832&lt;30,"Young Adult",K832&lt;=50,"Adult",K832&gt;50,"Senior")</f>
        <v>Senior</v>
      </c>
      <c r="K832" s="4">
        <v>64</v>
      </c>
      <c r="L832" s="4" t="s">
        <v>7</v>
      </c>
      <c r="M832" s="4">
        <v>1</v>
      </c>
      <c r="N832" s="19">
        <v>500</v>
      </c>
      <c r="O832" s="15">
        <f>M832 * N832</f>
        <v>500</v>
      </c>
      <c r="P832" s="15">
        <f>O832*$S$3</f>
        <v>7.5</v>
      </c>
      <c r="Q832" s="15">
        <f>O832*$S$4</f>
        <v>10</v>
      </c>
    </row>
    <row r="833" spans="1:17">
      <c r="A833" s="2">
        <v>885</v>
      </c>
      <c r="B833" s="4">
        <f>DAY(G833)</f>
        <v>3</v>
      </c>
      <c r="C833" s="4">
        <f>MONTH(G833)</f>
        <v>3</v>
      </c>
      <c r="D833" s="4">
        <f>YEAR(G833)</f>
        <v>2023</v>
      </c>
      <c r="E833" s="4" t="str">
        <f>TEXT(G833,"dddd")</f>
        <v>Friday</v>
      </c>
      <c r="F833" s="4" t="str">
        <f>TEXT(G833,"mmm")</f>
        <v>Mar</v>
      </c>
      <c r="G833" s="3">
        <v>44988</v>
      </c>
      <c r="H833" s="4" t="s">
        <v>866</v>
      </c>
      <c r="I833" s="4" t="s">
        <v>29</v>
      </c>
      <c r="J833" s="4" t="str" cm="1">
        <f t="array" ref="J833">_xlfn.IFS(K833&lt;30,"Young Adult",K833&lt;=50,"Adult",K833&gt;50,"Senior")</f>
        <v>Senior</v>
      </c>
      <c r="K833" s="4">
        <v>52</v>
      </c>
      <c r="L833" s="4" t="s">
        <v>8</v>
      </c>
      <c r="M833" s="4">
        <v>4</v>
      </c>
      <c r="N833" s="19">
        <v>30</v>
      </c>
      <c r="O833" s="15">
        <f>M833 * N833</f>
        <v>120</v>
      </c>
      <c r="P833" s="15">
        <f>O833*$S$3</f>
        <v>1.7999999999999998</v>
      </c>
      <c r="Q833" s="15">
        <f>O833*$S$4</f>
        <v>2.4</v>
      </c>
    </row>
    <row r="834" spans="1:17">
      <c r="A834" s="2">
        <v>888</v>
      </c>
      <c r="B834" s="4">
        <f>DAY(G834)</f>
        <v>3</v>
      </c>
      <c r="C834" s="4">
        <f>MONTH(G834)</f>
        <v>3</v>
      </c>
      <c r="D834" s="4">
        <f>YEAR(G834)</f>
        <v>2023</v>
      </c>
      <c r="E834" s="4" t="str">
        <f>TEXT(G834,"dddd")</f>
        <v>Friday</v>
      </c>
      <c r="F834" s="4" t="str">
        <f>TEXT(G834,"mmm")</f>
        <v>Mar</v>
      </c>
      <c r="G834" s="3">
        <v>44988</v>
      </c>
      <c r="H834" s="4" t="s">
        <v>867</v>
      </c>
      <c r="I834" s="4" t="s">
        <v>29</v>
      </c>
      <c r="J834" s="4" t="str" cm="1">
        <f t="array" ref="J834">_xlfn.IFS(K834&lt;30,"Young Adult",K834&lt;=50,"Adult",K834&gt;50,"Senior")</f>
        <v>Senior</v>
      </c>
      <c r="K834" s="4">
        <v>52</v>
      </c>
      <c r="L834" s="4" t="s">
        <v>9</v>
      </c>
      <c r="M834" s="4">
        <v>4</v>
      </c>
      <c r="N834" s="19">
        <v>25</v>
      </c>
      <c r="O834" s="15">
        <f>M834 * N834</f>
        <v>100</v>
      </c>
      <c r="P834" s="15">
        <f>O834*$S$3</f>
        <v>1.5</v>
      </c>
      <c r="Q834" s="15">
        <f>O834*$S$4</f>
        <v>2</v>
      </c>
    </row>
    <row r="835" spans="1:17">
      <c r="A835" s="2">
        <v>785</v>
      </c>
      <c r="B835" s="4">
        <f>DAY(G835)</f>
        <v>3</v>
      </c>
      <c r="C835" s="4">
        <f>MONTH(G835)</f>
        <v>3</v>
      </c>
      <c r="D835" s="4">
        <f>YEAR(G835)</f>
        <v>2023</v>
      </c>
      <c r="E835" s="4" t="str">
        <f>TEXT(G835,"dddd")</f>
        <v>Friday</v>
      </c>
      <c r="F835" s="4" t="str">
        <f>TEXT(G835,"mmm")</f>
        <v>Mar</v>
      </c>
      <c r="G835" s="3">
        <v>44988</v>
      </c>
      <c r="H835" s="4" t="s">
        <v>868</v>
      </c>
      <c r="I835" s="4" t="s">
        <v>29</v>
      </c>
      <c r="J835" s="4" t="str" cm="1">
        <f t="array" ref="J835">_xlfn.IFS(K835&lt;30,"Young Adult",K835&lt;=50,"Adult",K835&gt;50,"Senior")</f>
        <v>Adult</v>
      </c>
      <c r="K835" s="4">
        <v>31</v>
      </c>
      <c r="L835" s="4" t="s">
        <v>7</v>
      </c>
      <c r="M835" s="4">
        <v>4</v>
      </c>
      <c r="N835" s="19">
        <v>50</v>
      </c>
      <c r="O835" s="15">
        <f>M835 * N835</f>
        <v>200</v>
      </c>
      <c r="P835" s="15">
        <f>O835*$S$3</f>
        <v>3</v>
      </c>
      <c r="Q835" s="15">
        <f>O835*$S$4</f>
        <v>4</v>
      </c>
    </row>
    <row r="836" spans="1:17">
      <c r="A836" s="2">
        <v>339</v>
      </c>
      <c r="B836" s="4">
        <f>DAY(G836)</f>
        <v>3</v>
      </c>
      <c r="C836" s="4">
        <f>MONTH(G836)</f>
        <v>3</v>
      </c>
      <c r="D836" s="4">
        <f>YEAR(G836)</f>
        <v>2023</v>
      </c>
      <c r="E836" s="4" t="str">
        <f>TEXT(G836,"dddd")</f>
        <v>Friday</v>
      </c>
      <c r="F836" s="4" t="str">
        <f>TEXT(G836,"mmm")</f>
        <v>Mar</v>
      </c>
      <c r="G836" s="3">
        <v>44988</v>
      </c>
      <c r="H836" s="4" t="s">
        <v>869</v>
      </c>
      <c r="I836" s="4" t="s">
        <v>29</v>
      </c>
      <c r="J836" s="4" t="str" cm="1">
        <f t="array" ref="J836">_xlfn.IFS(K836&lt;30,"Young Adult",K836&lt;=50,"Adult",K836&gt;50,"Senior")</f>
        <v>Young Adult</v>
      </c>
      <c r="K836" s="4">
        <v>22</v>
      </c>
      <c r="L836" s="4" t="s">
        <v>9</v>
      </c>
      <c r="M836" s="4">
        <v>2</v>
      </c>
      <c r="N836" s="19">
        <v>25</v>
      </c>
      <c r="O836" s="15">
        <f>M836 * N836</f>
        <v>50</v>
      </c>
      <c r="P836" s="15">
        <f>O836*$S$3</f>
        <v>0.75</v>
      </c>
      <c r="Q836" s="15">
        <f>O836*$S$4</f>
        <v>1</v>
      </c>
    </row>
    <row r="837" spans="1:17">
      <c r="A837" s="2">
        <v>947</v>
      </c>
      <c r="B837" s="4">
        <f>DAY(G837)</f>
        <v>2</v>
      </c>
      <c r="C837" s="4">
        <f>MONTH(G837)</f>
        <v>3</v>
      </c>
      <c r="D837" s="4">
        <f>YEAR(G837)</f>
        <v>2023</v>
      </c>
      <c r="E837" s="4" t="str">
        <f>TEXT(G837,"dddd")</f>
        <v>Thursday</v>
      </c>
      <c r="F837" s="4" t="str">
        <f>TEXT(G837,"mmm")</f>
        <v>Mar</v>
      </c>
      <c r="G837" s="3">
        <v>44987</v>
      </c>
      <c r="H837" s="4" t="s">
        <v>870</v>
      </c>
      <c r="I837" s="4" t="s">
        <v>24</v>
      </c>
      <c r="J837" s="4" t="str" cm="1">
        <f t="array" ref="J837">_xlfn.IFS(K837&lt;30,"Young Adult",K837&lt;=50,"Adult",K837&gt;50,"Senior")</f>
        <v>Adult</v>
      </c>
      <c r="K837" s="4">
        <v>50</v>
      </c>
      <c r="L837" s="4" t="s">
        <v>7</v>
      </c>
      <c r="M837" s="4">
        <v>1</v>
      </c>
      <c r="N837" s="19">
        <v>300</v>
      </c>
      <c r="O837" s="15">
        <f>M837 * N837</f>
        <v>300</v>
      </c>
      <c r="P837" s="15">
        <f>O837*$S$3</f>
        <v>4.5</v>
      </c>
      <c r="Q837" s="15">
        <f>O837*$S$4</f>
        <v>6</v>
      </c>
    </row>
    <row r="838" spans="1:17">
      <c r="A838" s="2">
        <v>399</v>
      </c>
      <c r="B838" s="4">
        <f>DAY(G838)</f>
        <v>1</v>
      </c>
      <c r="C838" s="4">
        <f>MONTH(G838)</f>
        <v>3</v>
      </c>
      <c r="D838" s="4">
        <f>YEAR(G838)</f>
        <v>2023</v>
      </c>
      <c r="E838" s="4" t="str">
        <f>TEXT(G838,"dddd")</f>
        <v>Wednesday</v>
      </c>
      <c r="F838" s="4" t="str">
        <f>TEXT(G838,"mmm")</f>
        <v>Mar</v>
      </c>
      <c r="G838" s="3">
        <v>44986</v>
      </c>
      <c r="H838" s="4" t="s">
        <v>871</v>
      </c>
      <c r="I838" s="4" t="s">
        <v>29</v>
      </c>
      <c r="J838" s="4" t="str" cm="1">
        <f t="array" ref="J838">_xlfn.IFS(K838&lt;30,"Young Adult",K838&lt;=50,"Adult",K838&gt;50,"Senior")</f>
        <v>Senior</v>
      </c>
      <c r="K838" s="4">
        <v>64</v>
      </c>
      <c r="L838" s="4" t="s">
        <v>7</v>
      </c>
      <c r="M838" s="4">
        <v>2</v>
      </c>
      <c r="N838" s="19">
        <v>30</v>
      </c>
      <c r="O838" s="15">
        <f>M838 * N838</f>
        <v>60</v>
      </c>
      <c r="P838" s="15">
        <f>O838*$S$3</f>
        <v>0.89999999999999991</v>
      </c>
      <c r="Q838" s="15">
        <f>O838*$S$4</f>
        <v>1.2</v>
      </c>
    </row>
    <row r="839" spans="1:17">
      <c r="A839" s="2">
        <v>500</v>
      </c>
      <c r="B839" s="4">
        <f>DAY(G839)</f>
        <v>1</v>
      </c>
      <c r="C839" s="4">
        <f>MONTH(G839)</f>
        <v>3</v>
      </c>
      <c r="D839" s="4">
        <f>YEAR(G839)</f>
        <v>2023</v>
      </c>
      <c r="E839" s="4" t="str">
        <f>TEXT(G839,"dddd")</f>
        <v>Wednesday</v>
      </c>
      <c r="F839" s="4" t="str">
        <f>TEXT(G839,"mmm")</f>
        <v>Mar</v>
      </c>
      <c r="G839" s="3">
        <v>44986</v>
      </c>
      <c r="H839" s="4" t="s">
        <v>872</v>
      </c>
      <c r="I839" s="4" t="s">
        <v>29</v>
      </c>
      <c r="J839" s="4" t="str" cm="1">
        <f t="array" ref="J839">_xlfn.IFS(K839&lt;30,"Young Adult",K839&lt;=50,"Adult",K839&gt;50,"Senior")</f>
        <v>Senior</v>
      </c>
      <c r="K839" s="4">
        <v>60</v>
      </c>
      <c r="L839" s="4" t="s">
        <v>7</v>
      </c>
      <c r="M839" s="4">
        <v>4</v>
      </c>
      <c r="N839" s="19">
        <v>25</v>
      </c>
      <c r="O839" s="15">
        <f>M839 * N839</f>
        <v>100</v>
      </c>
      <c r="P839" s="15">
        <f>O839*$S$3</f>
        <v>1.5</v>
      </c>
      <c r="Q839" s="15">
        <f>O839*$S$4</f>
        <v>2</v>
      </c>
    </row>
    <row r="840" spans="1:17">
      <c r="A840" s="2">
        <v>514</v>
      </c>
      <c r="B840" s="4">
        <f>DAY(G840)</f>
        <v>1</v>
      </c>
      <c r="C840" s="4">
        <f>MONTH(G840)</f>
        <v>3</v>
      </c>
      <c r="D840" s="4">
        <f>YEAR(G840)</f>
        <v>2023</v>
      </c>
      <c r="E840" s="4" t="str">
        <f>TEXT(G840,"dddd")</f>
        <v>Wednesday</v>
      </c>
      <c r="F840" s="4" t="str">
        <f>TEXT(G840,"mmm")</f>
        <v>Mar</v>
      </c>
      <c r="G840" s="3">
        <v>44986</v>
      </c>
      <c r="H840" s="4" t="s">
        <v>873</v>
      </c>
      <c r="I840" s="4" t="s">
        <v>29</v>
      </c>
      <c r="J840" s="4" t="str" cm="1">
        <f t="array" ref="J840">_xlfn.IFS(K840&lt;30,"Young Adult",K840&lt;=50,"Adult",K840&gt;50,"Senior")</f>
        <v>Young Adult</v>
      </c>
      <c r="K840" s="4">
        <v>18</v>
      </c>
      <c r="L840" s="4" t="s">
        <v>9</v>
      </c>
      <c r="M840" s="4">
        <v>1</v>
      </c>
      <c r="N840" s="19">
        <v>300</v>
      </c>
      <c r="O840" s="15">
        <f>M840 * N840</f>
        <v>300</v>
      </c>
      <c r="P840" s="15">
        <f>O840*$S$3</f>
        <v>4.5</v>
      </c>
      <c r="Q840" s="15">
        <f>O840*$S$4</f>
        <v>6</v>
      </c>
    </row>
    <row r="841" spans="1:17">
      <c r="A841" s="2">
        <v>932</v>
      </c>
      <c r="B841" s="4">
        <f>DAY(G841)</f>
        <v>28</v>
      </c>
      <c r="C841" s="4">
        <f>MONTH(G841)</f>
        <v>2</v>
      </c>
      <c r="D841" s="4">
        <f>YEAR(G841)</f>
        <v>2023</v>
      </c>
      <c r="E841" s="4" t="str">
        <f>TEXT(G841,"dddd")</f>
        <v>Tuesday</v>
      </c>
      <c r="F841" s="4" t="str">
        <f>TEXT(G841,"mmm")</f>
        <v>Feb</v>
      </c>
      <c r="G841" s="3">
        <v>44985</v>
      </c>
      <c r="H841" s="4" t="s">
        <v>874</v>
      </c>
      <c r="I841" s="4" t="s">
        <v>29</v>
      </c>
      <c r="J841" s="4" t="str" cm="1">
        <f t="array" ref="J841">_xlfn.IFS(K841&lt;30,"Young Adult",K841&lt;=50,"Adult",K841&gt;50,"Senior")</f>
        <v>Adult</v>
      </c>
      <c r="K841" s="4">
        <v>45</v>
      </c>
      <c r="L841" s="4" t="s">
        <v>7</v>
      </c>
      <c r="M841" s="4">
        <v>4</v>
      </c>
      <c r="N841" s="19">
        <v>25</v>
      </c>
      <c r="O841" s="15">
        <f>M841 * N841</f>
        <v>100</v>
      </c>
      <c r="P841" s="15">
        <f>O841*$S$3</f>
        <v>1.5</v>
      </c>
      <c r="Q841" s="15">
        <f>O841*$S$4</f>
        <v>2</v>
      </c>
    </row>
    <row r="842" spans="1:17">
      <c r="A842" s="2">
        <v>152</v>
      </c>
      <c r="B842" s="4">
        <f>DAY(G842)</f>
        <v>28</v>
      </c>
      <c r="C842" s="4">
        <f>MONTH(G842)</f>
        <v>2</v>
      </c>
      <c r="D842" s="4">
        <f>YEAR(G842)</f>
        <v>2023</v>
      </c>
      <c r="E842" s="4" t="str">
        <f>TEXT(G842,"dddd")</f>
        <v>Tuesday</v>
      </c>
      <c r="F842" s="4" t="str">
        <f>TEXT(G842,"mmm")</f>
        <v>Feb</v>
      </c>
      <c r="G842" s="3">
        <v>44985</v>
      </c>
      <c r="H842" s="4" t="s">
        <v>875</v>
      </c>
      <c r="I842" s="4" t="s">
        <v>24</v>
      </c>
      <c r="J842" s="4" t="str" cm="1">
        <f t="array" ref="J842">_xlfn.IFS(K842&lt;30,"Young Adult",K842&lt;=50,"Adult",K842&gt;50,"Senior")</f>
        <v>Adult</v>
      </c>
      <c r="K842" s="4">
        <v>43</v>
      </c>
      <c r="L842" s="4" t="s">
        <v>9</v>
      </c>
      <c r="M842" s="4">
        <v>4</v>
      </c>
      <c r="N842" s="19">
        <v>500</v>
      </c>
      <c r="O842" s="15">
        <f>M842 * N842</f>
        <v>2000</v>
      </c>
      <c r="P842" s="15">
        <f>O842*$S$3</f>
        <v>30</v>
      </c>
      <c r="Q842" s="15">
        <f>O842*$S$4</f>
        <v>40</v>
      </c>
    </row>
    <row r="843" spans="1:17">
      <c r="A843" s="2">
        <v>763</v>
      </c>
      <c r="B843" s="4">
        <f>DAY(G843)</f>
        <v>28</v>
      </c>
      <c r="C843" s="4">
        <f>MONTH(G843)</f>
        <v>2</v>
      </c>
      <c r="D843" s="4">
        <f>YEAR(G843)</f>
        <v>2023</v>
      </c>
      <c r="E843" s="4" t="str">
        <f>TEXT(G843,"dddd")</f>
        <v>Tuesday</v>
      </c>
      <c r="F843" s="4" t="str">
        <f>TEXT(G843,"mmm")</f>
        <v>Feb</v>
      </c>
      <c r="G843" s="3">
        <v>44985</v>
      </c>
      <c r="H843" s="4" t="s">
        <v>876</v>
      </c>
      <c r="I843" s="4" t="s">
        <v>24</v>
      </c>
      <c r="J843" s="4" t="str" cm="1">
        <f t="array" ref="J843">_xlfn.IFS(K843&lt;30,"Young Adult",K843&lt;=50,"Adult",K843&gt;50,"Senior")</f>
        <v>Adult</v>
      </c>
      <c r="K843" s="4">
        <v>34</v>
      </c>
      <c r="L843" s="4" t="s">
        <v>8</v>
      </c>
      <c r="M843" s="4">
        <v>2</v>
      </c>
      <c r="N843" s="19">
        <v>25</v>
      </c>
      <c r="O843" s="15">
        <f>M843 * N843</f>
        <v>50</v>
      </c>
      <c r="P843" s="15">
        <f>O843*$S$3</f>
        <v>0.75</v>
      </c>
      <c r="Q843" s="15">
        <f>O843*$S$4</f>
        <v>1</v>
      </c>
    </row>
    <row r="844" spans="1:17">
      <c r="A844" s="2">
        <v>753</v>
      </c>
      <c r="B844" s="4">
        <f>DAY(G844)</f>
        <v>28</v>
      </c>
      <c r="C844" s="4">
        <f>MONTH(G844)</f>
        <v>2</v>
      </c>
      <c r="D844" s="4">
        <f>YEAR(G844)</f>
        <v>2023</v>
      </c>
      <c r="E844" s="4" t="str">
        <f>TEXT(G844,"dddd")</f>
        <v>Tuesday</v>
      </c>
      <c r="F844" s="4" t="str">
        <f>TEXT(G844,"mmm")</f>
        <v>Feb</v>
      </c>
      <c r="G844" s="3">
        <v>44985</v>
      </c>
      <c r="H844" s="4" t="s">
        <v>877</v>
      </c>
      <c r="I844" s="4" t="s">
        <v>29</v>
      </c>
      <c r="J844" s="4" t="str" cm="1">
        <f t="array" ref="J844">_xlfn.IFS(K844&lt;30,"Young Adult",K844&lt;=50,"Adult",K844&gt;50,"Senior")</f>
        <v>Adult</v>
      </c>
      <c r="K844" s="4">
        <v>32</v>
      </c>
      <c r="L844" s="4" t="s">
        <v>8</v>
      </c>
      <c r="M844" s="4">
        <v>1</v>
      </c>
      <c r="N844" s="19">
        <v>30</v>
      </c>
      <c r="O844" s="15">
        <f>M844 * N844</f>
        <v>30</v>
      </c>
      <c r="P844" s="15">
        <f>O844*$S$3</f>
        <v>0.44999999999999996</v>
      </c>
      <c r="Q844" s="15">
        <f>O844*$S$4</f>
        <v>0.6</v>
      </c>
    </row>
    <row r="845" spans="1:17">
      <c r="A845" s="2">
        <v>158</v>
      </c>
      <c r="B845" s="4">
        <f>DAY(G845)</f>
        <v>27</v>
      </c>
      <c r="C845" s="4">
        <f>MONTH(G845)</f>
        <v>2</v>
      </c>
      <c r="D845" s="4">
        <f>YEAR(G845)</f>
        <v>2023</v>
      </c>
      <c r="E845" s="4" t="str">
        <f>TEXT(G845,"dddd")</f>
        <v>Monday</v>
      </c>
      <c r="F845" s="4" t="str">
        <f>TEXT(G845,"mmm")</f>
        <v>Feb</v>
      </c>
      <c r="G845" s="3">
        <v>44984</v>
      </c>
      <c r="H845" s="4" t="s">
        <v>878</v>
      </c>
      <c r="I845" s="4" t="s">
        <v>29</v>
      </c>
      <c r="J845" s="4" t="str" cm="1">
        <f t="array" ref="J845">_xlfn.IFS(K845&lt;30,"Young Adult",K845&lt;=50,"Adult",K845&gt;50,"Senior")</f>
        <v>Adult</v>
      </c>
      <c r="K845" s="4">
        <v>44</v>
      </c>
      <c r="L845" s="4" t="s">
        <v>9</v>
      </c>
      <c r="M845" s="4">
        <v>2</v>
      </c>
      <c r="N845" s="19">
        <v>300</v>
      </c>
      <c r="O845" s="15">
        <f>M845 * N845</f>
        <v>600</v>
      </c>
      <c r="P845" s="15">
        <f>O845*$S$3</f>
        <v>9</v>
      </c>
      <c r="Q845" s="15">
        <f>O845*$S$4</f>
        <v>12</v>
      </c>
    </row>
    <row r="846" spans="1:17">
      <c r="A846" s="2">
        <v>433</v>
      </c>
      <c r="B846" s="4">
        <f>DAY(G846)</f>
        <v>27</v>
      </c>
      <c r="C846" s="4">
        <f>MONTH(G846)</f>
        <v>2</v>
      </c>
      <c r="D846" s="4">
        <f>YEAR(G846)</f>
        <v>2023</v>
      </c>
      <c r="E846" s="4" t="str">
        <f>TEXT(G846,"dddd")</f>
        <v>Monday</v>
      </c>
      <c r="F846" s="4" t="str">
        <f>TEXT(G846,"mmm")</f>
        <v>Feb</v>
      </c>
      <c r="G846" s="3">
        <v>44984</v>
      </c>
      <c r="H846" s="4" t="s">
        <v>879</v>
      </c>
      <c r="I846" s="4" t="s">
        <v>24</v>
      </c>
      <c r="J846" s="4" t="str" cm="1">
        <f t="array" ref="J846">_xlfn.IFS(K846&lt;30,"Young Adult",K846&lt;=50,"Adult",K846&gt;50,"Senior")</f>
        <v>Young Adult</v>
      </c>
      <c r="K846" s="4">
        <v>29</v>
      </c>
      <c r="L846" s="4" t="s">
        <v>7</v>
      </c>
      <c r="M846" s="4">
        <v>4</v>
      </c>
      <c r="N846" s="19">
        <v>50</v>
      </c>
      <c r="O846" s="15">
        <f>M846 * N846</f>
        <v>200</v>
      </c>
      <c r="P846" s="15">
        <f>O846*$S$3</f>
        <v>3</v>
      </c>
      <c r="Q846" s="15">
        <f>O846*$S$4</f>
        <v>4</v>
      </c>
    </row>
    <row r="847" spans="1:17">
      <c r="A847" s="2">
        <v>2</v>
      </c>
      <c r="B847" s="4">
        <f>DAY(G847)</f>
        <v>27</v>
      </c>
      <c r="C847" s="4">
        <f>MONTH(G847)</f>
        <v>2</v>
      </c>
      <c r="D847" s="4">
        <f>YEAR(G847)</f>
        <v>2023</v>
      </c>
      <c r="E847" s="4" t="str">
        <f>TEXT(G847,"dddd")</f>
        <v>Monday</v>
      </c>
      <c r="F847" s="4" t="str">
        <f>TEXT(G847,"mmm")</f>
        <v>Feb</v>
      </c>
      <c r="G847" s="3">
        <v>44984</v>
      </c>
      <c r="H847" s="4" t="s">
        <v>880</v>
      </c>
      <c r="I847" s="4" t="s">
        <v>29</v>
      </c>
      <c r="J847" s="4" t="str" cm="1">
        <f t="array" ref="J847">_xlfn.IFS(K847&lt;30,"Young Adult",K847&lt;=50,"Adult",K847&gt;50,"Senior")</f>
        <v>Young Adult</v>
      </c>
      <c r="K847" s="4">
        <v>26</v>
      </c>
      <c r="L847" s="4" t="s">
        <v>8</v>
      </c>
      <c r="M847" s="4">
        <v>2</v>
      </c>
      <c r="N847" s="19">
        <v>500</v>
      </c>
      <c r="O847" s="15">
        <f>M847 * N847</f>
        <v>1000</v>
      </c>
      <c r="P847" s="15">
        <f>O847*$S$3</f>
        <v>15</v>
      </c>
      <c r="Q847" s="15">
        <f>O847*$S$4</f>
        <v>20</v>
      </c>
    </row>
    <row r="848" spans="1:17">
      <c r="A848" s="2">
        <v>185</v>
      </c>
      <c r="B848" s="4">
        <f>DAY(G848)</f>
        <v>27</v>
      </c>
      <c r="C848" s="4">
        <f>MONTH(G848)</f>
        <v>2</v>
      </c>
      <c r="D848" s="4">
        <f>YEAR(G848)</f>
        <v>2023</v>
      </c>
      <c r="E848" s="4" t="str">
        <f>TEXT(G848,"dddd")</f>
        <v>Monday</v>
      </c>
      <c r="F848" s="4" t="str">
        <f>TEXT(G848,"mmm")</f>
        <v>Feb</v>
      </c>
      <c r="G848" s="3">
        <v>44984</v>
      </c>
      <c r="H848" s="4" t="s">
        <v>881</v>
      </c>
      <c r="I848" s="4" t="s">
        <v>24</v>
      </c>
      <c r="J848" s="4" t="str" cm="1">
        <f t="array" ref="J848">_xlfn.IFS(K848&lt;30,"Young Adult",K848&lt;=50,"Adult",K848&gt;50,"Senior")</f>
        <v>Young Adult</v>
      </c>
      <c r="K848" s="4">
        <v>24</v>
      </c>
      <c r="L848" s="4" t="s">
        <v>8</v>
      </c>
      <c r="M848" s="4">
        <v>1</v>
      </c>
      <c r="N848" s="19">
        <v>25</v>
      </c>
      <c r="O848" s="15">
        <f>M848 * N848</f>
        <v>25</v>
      </c>
      <c r="P848" s="15">
        <f>O848*$S$3</f>
        <v>0.375</v>
      </c>
      <c r="Q848" s="15">
        <f>O848*$S$4</f>
        <v>0.5</v>
      </c>
    </row>
    <row r="849" spans="1:17">
      <c r="A849" s="2">
        <v>135</v>
      </c>
      <c r="B849" s="4">
        <f>DAY(G849)</f>
        <v>26</v>
      </c>
      <c r="C849" s="4">
        <f>MONTH(G849)</f>
        <v>2</v>
      </c>
      <c r="D849" s="4">
        <f>YEAR(G849)</f>
        <v>2023</v>
      </c>
      <c r="E849" s="4" t="str">
        <f>TEXT(G849,"dddd")</f>
        <v>Sunday</v>
      </c>
      <c r="F849" s="4" t="str">
        <f>TEXT(G849,"mmm")</f>
        <v>Feb</v>
      </c>
      <c r="G849" s="3">
        <v>44983</v>
      </c>
      <c r="H849" s="4" t="s">
        <v>882</v>
      </c>
      <c r="I849" s="4" t="s">
        <v>24</v>
      </c>
      <c r="J849" s="4" t="str" cm="1">
        <f t="array" ref="J849">_xlfn.IFS(K849&lt;30,"Young Adult",K849&lt;=50,"Adult",K849&gt;50,"Senior")</f>
        <v>Young Adult</v>
      </c>
      <c r="K849" s="4">
        <v>20</v>
      </c>
      <c r="L849" s="4" t="s">
        <v>8</v>
      </c>
      <c r="M849" s="4">
        <v>2</v>
      </c>
      <c r="N849" s="19">
        <v>25</v>
      </c>
      <c r="O849" s="15">
        <f>M849 * N849</f>
        <v>50</v>
      </c>
      <c r="P849" s="15">
        <f>O849*$S$3</f>
        <v>0.75</v>
      </c>
      <c r="Q849" s="15">
        <f>O849*$S$4</f>
        <v>1</v>
      </c>
    </row>
    <row r="850" spans="1:17">
      <c r="A850" s="2">
        <v>473</v>
      </c>
      <c r="B850" s="4">
        <f>DAY(G850)</f>
        <v>25</v>
      </c>
      <c r="C850" s="4">
        <f>MONTH(G850)</f>
        <v>2</v>
      </c>
      <c r="D850" s="4">
        <f>YEAR(G850)</f>
        <v>2023</v>
      </c>
      <c r="E850" s="4" t="str">
        <f>TEXT(G850,"dddd")</f>
        <v>Saturday</v>
      </c>
      <c r="F850" s="4" t="str">
        <f>TEXT(G850,"mmm")</f>
        <v>Feb</v>
      </c>
      <c r="G850" s="3">
        <v>44982</v>
      </c>
      <c r="H850" s="4" t="s">
        <v>883</v>
      </c>
      <c r="I850" s="4" t="s">
        <v>24</v>
      </c>
      <c r="J850" s="4" t="str" cm="1">
        <f t="array" ref="J850">_xlfn.IFS(K850&lt;30,"Young Adult",K850&lt;=50,"Adult",K850&gt;50,"Senior")</f>
        <v>Senior</v>
      </c>
      <c r="K850" s="4">
        <v>64</v>
      </c>
      <c r="L850" s="4" t="s">
        <v>7</v>
      </c>
      <c r="M850" s="4">
        <v>1</v>
      </c>
      <c r="N850" s="19">
        <v>50</v>
      </c>
      <c r="O850" s="15">
        <f>M850 * N850</f>
        <v>50</v>
      </c>
      <c r="P850" s="15">
        <f>O850*$S$3</f>
        <v>0.75</v>
      </c>
      <c r="Q850" s="15">
        <f>O850*$S$4</f>
        <v>1</v>
      </c>
    </row>
    <row r="851" spans="1:17">
      <c r="A851" s="2">
        <v>272</v>
      </c>
      <c r="B851" s="4">
        <f>DAY(G851)</f>
        <v>25</v>
      </c>
      <c r="C851" s="4">
        <f>MONTH(G851)</f>
        <v>2</v>
      </c>
      <c r="D851" s="4">
        <f>YEAR(G851)</f>
        <v>2023</v>
      </c>
      <c r="E851" s="4" t="str">
        <f>TEXT(G851,"dddd")</f>
        <v>Saturday</v>
      </c>
      <c r="F851" s="4" t="str">
        <f>TEXT(G851,"mmm")</f>
        <v>Feb</v>
      </c>
      <c r="G851" s="3">
        <v>44982</v>
      </c>
      <c r="H851" s="4" t="s">
        <v>884</v>
      </c>
      <c r="I851" s="4" t="s">
        <v>29</v>
      </c>
      <c r="J851" s="4" t="str" cm="1">
        <f t="array" ref="J851">_xlfn.IFS(K851&lt;30,"Young Adult",K851&lt;=50,"Adult",K851&gt;50,"Senior")</f>
        <v>Senior</v>
      </c>
      <c r="K851" s="4">
        <v>61</v>
      </c>
      <c r="L851" s="4" t="s">
        <v>9</v>
      </c>
      <c r="M851" s="4">
        <v>2</v>
      </c>
      <c r="N851" s="19">
        <v>50</v>
      </c>
      <c r="O851" s="15">
        <f>M851 * N851</f>
        <v>100</v>
      </c>
      <c r="P851" s="15">
        <f>O851*$S$3</f>
        <v>1.5</v>
      </c>
      <c r="Q851" s="15">
        <f>O851*$S$4</f>
        <v>2</v>
      </c>
    </row>
    <row r="852" spans="1:17">
      <c r="A852" s="2">
        <v>766</v>
      </c>
      <c r="B852" s="4">
        <f>DAY(G852)</f>
        <v>25</v>
      </c>
      <c r="C852" s="4">
        <f>MONTH(G852)</f>
        <v>2</v>
      </c>
      <c r="D852" s="4">
        <f>YEAR(G852)</f>
        <v>2023</v>
      </c>
      <c r="E852" s="4" t="str">
        <f>TEXT(G852,"dddd")</f>
        <v>Saturday</v>
      </c>
      <c r="F852" s="4" t="str">
        <f>TEXT(G852,"mmm")</f>
        <v>Feb</v>
      </c>
      <c r="G852" s="3">
        <v>44982</v>
      </c>
      <c r="H852" s="4" t="s">
        <v>885</v>
      </c>
      <c r="I852" s="4" t="s">
        <v>24</v>
      </c>
      <c r="J852" s="4" t="str" cm="1">
        <f t="array" ref="J852">_xlfn.IFS(K852&lt;30,"Young Adult",K852&lt;=50,"Adult",K852&gt;50,"Senior")</f>
        <v>Adult</v>
      </c>
      <c r="K852" s="4">
        <v>38</v>
      </c>
      <c r="L852" s="4" t="s">
        <v>9</v>
      </c>
      <c r="M852" s="4">
        <v>3</v>
      </c>
      <c r="N852" s="19">
        <v>300</v>
      </c>
      <c r="O852" s="15">
        <f>M852 * N852</f>
        <v>900</v>
      </c>
      <c r="P852" s="15">
        <f>O852*$S$3</f>
        <v>13.5</v>
      </c>
      <c r="Q852" s="15">
        <f>O852*$S$4</f>
        <v>18</v>
      </c>
    </row>
    <row r="853" spans="1:17">
      <c r="A853" s="2">
        <v>506</v>
      </c>
      <c r="B853" s="4">
        <f>DAY(G853)</f>
        <v>25</v>
      </c>
      <c r="C853" s="4">
        <f>MONTH(G853)</f>
        <v>2</v>
      </c>
      <c r="D853" s="4">
        <f>YEAR(G853)</f>
        <v>2023</v>
      </c>
      <c r="E853" s="4" t="str">
        <f>TEXT(G853,"dddd")</f>
        <v>Saturday</v>
      </c>
      <c r="F853" s="4" t="str">
        <f>TEXT(G853,"mmm")</f>
        <v>Feb</v>
      </c>
      <c r="G853" s="3">
        <v>44982</v>
      </c>
      <c r="H853" s="4" t="s">
        <v>886</v>
      </c>
      <c r="I853" s="4" t="s">
        <v>24</v>
      </c>
      <c r="J853" s="4" t="str" cm="1">
        <f t="array" ref="J853">_xlfn.IFS(K853&lt;30,"Young Adult",K853&lt;=50,"Adult",K853&gt;50,"Senior")</f>
        <v>Adult</v>
      </c>
      <c r="K853" s="4">
        <v>34</v>
      </c>
      <c r="L853" s="4" t="s">
        <v>7</v>
      </c>
      <c r="M853" s="4">
        <v>3</v>
      </c>
      <c r="N853" s="19">
        <v>500</v>
      </c>
      <c r="O853" s="15">
        <f>M853 * N853</f>
        <v>1500</v>
      </c>
      <c r="P853" s="15">
        <f>O853*$S$3</f>
        <v>22.5</v>
      </c>
      <c r="Q853" s="15">
        <f>O853*$S$4</f>
        <v>30</v>
      </c>
    </row>
    <row r="854" spans="1:17">
      <c r="A854" s="2">
        <v>168</v>
      </c>
      <c r="B854" s="4">
        <f>DAY(G854)</f>
        <v>24</v>
      </c>
      <c r="C854" s="4">
        <f>MONTH(G854)</f>
        <v>2</v>
      </c>
      <c r="D854" s="4">
        <f>YEAR(G854)</f>
        <v>2023</v>
      </c>
      <c r="E854" s="4" t="str">
        <f>TEXT(G854,"dddd")</f>
        <v>Friday</v>
      </c>
      <c r="F854" s="4" t="str">
        <f>TEXT(G854,"mmm")</f>
        <v>Feb</v>
      </c>
      <c r="G854" s="3">
        <v>44981</v>
      </c>
      <c r="H854" s="4" t="s">
        <v>887</v>
      </c>
      <c r="I854" s="4" t="s">
        <v>24</v>
      </c>
      <c r="J854" s="4" t="str" cm="1">
        <f t="array" ref="J854">_xlfn.IFS(K854&lt;30,"Young Adult",K854&lt;=50,"Adult",K854&gt;50,"Senior")</f>
        <v>Senior</v>
      </c>
      <c r="K854" s="4">
        <v>53</v>
      </c>
      <c r="L854" s="4" t="s">
        <v>8</v>
      </c>
      <c r="M854" s="4">
        <v>1</v>
      </c>
      <c r="N854" s="19">
        <v>300</v>
      </c>
      <c r="O854" s="15">
        <f>M854 * N854</f>
        <v>300</v>
      </c>
      <c r="P854" s="15">
        <f>O854*$S$3</f>
        <v>4.5</v>
      </c>
      <c r="Q854" s="15">
        <f>O854*$S$4</f>
        <v>6</v>
      </c>
    </row>
    <row r="855" spans="1:17">
      <c r="A855" s="2">
        <v>400</v>
      </c>
      <c r="B855" s="4">
        <f>DAY(G855)</f>
        <v>24</v>
      </c>
      <c r="C855" s="4">
        <f>MONTH(G855)</f>
        <v>2</v>
      </c>
      <c r="D855" s="4">
        <f>YEAR(G855)</f>
        <v>2023</v>
      </c>
      <c r="E855" s="4" t="str">
        <f>TEXT(G855,"dddd")</f>
        <v>Friday</v>
      </c>
      <c r="F855" s="4" t="str">
        <f>TEXT(G855,"mmm")</f>
        <v>Feb</v>
      </c>
      <c r="G855" s="3">
        <v>44981</v>
      </c>
      <c r="H855" s="4" t="s">
        <v>888</v>
      </c>
      <c r="I855" s="4" t="s">
        <v>24</v>
      </c>
      <c r="J855" s="4" t="str" cm="1">
        <f t="array" ref="J855">_xlfn.IFS(K855&lt;30,"Young Adult",K855&lt;=50,"Adult",K855&gt;50,"Senior")</f>
        <v>Senior</v>
      </c>
      <c r="K855" s="4">
        <v>53</v>
      </c>
      <c r="L855" s="4" t="s">
        <v>8</v>
      </c>
      <c r="M855" s="4">
        <v>4</v>
      </c>
      <c r="N855" s="19">
        <v>50</v>
      </c>
      <c r="O855" s="15">
        <f>M855 * N855</f>
        <v>200</v>
      </c>
      <c r="P855" s="15">
        <f>O855*$S$3</f>
        <v>3</v>
      </c>
      <c r="Q855" s="15">
        <f>O855*$S$4</f>
        <v>4</v>
      </c>
    </row>
    <row r="856" spans="1:17">
      <c r="A856" s="2">
        <v>611</v>
      </c>
      <c r="B856" s="4">
        <f>DAY(G856)</f>
        <v>24</v>
      </c>
      <c r="C856" s="4">
        <f>MONTH(G856)</f>
        <v>2</v>
      </c>
      <c r="D856" s="4">
        <f>YEAR(G856)</f>
        <v>2023</v>
      </c>
      <c r="E856" s="4" t="str">
        <f>TEXT(G856,"dddd")</f>
        <v>Friday</v>
      </c>
      <c r="F856" s="4" t="str">
        <f>TEXT(G856,"mmm")</f>
        <v>Feb</v>
      </c>
      <c r="G856" s="3">
        <v>44981</v>
      </c>
      <c r="H856" s="4" t="s">
        <v>889</v>
      </c>
      <c r="I856" s="4" t="s">
        <v>24</v>
      </c>
      <c r="J856" s="4" t="str" cm="1">
        <f t="array" ref="J856">_xlfn.IFS(K856&lt;30,"Young Adult",K856&lt;=50,"Adult",K856&gt;50,"Senior")</f>
        <v>Senior</v>
      </c>
      <c r="K856" s="4">
        <v>51</v>
      </c>
      <c r="L856" s="4" t="s">
        <v>7</v>
      </c>
      <c r="M856" s="4">
        <v>3</v>
      </c>
      <c r="N856" s="19">
        <v>500</v>
      </c>
      <c r="O856" s="15">
        <f>M856 * N856</f>
        <v>1500</v>
      </c>
      <c r="P856" s="15">
        <f>O856*$S$3</f>
        <v>22.5</v>
      </c>
      <c r="Q856" s="15">
        <f>O856*$S$4</f>
        <v>30</v>
      </c>
    </row>
    <row r="857" spans="1:17">
      <c r="A857" s="2">
        <v>800</v>
      </c>
      <c r="B857" s="4">
        <f>DAY(G857)</f>
        <v>24</v>
      </c>
      <c r="C857" s="4">
        <f>MONTH(G857)</f>
        <v>2</v>
      </c>
      <c r="D857" s="4">
        <f>YEAR(G857)</f>
        <v>2023</v>
      </c>
      <c r="E857" s="4" t="str">
        <f>TEXT(G857,"dddd")</f>
        <v>Friday</v>
      </c>
      <c r="F857" s="4" t="str">
        <f>TEXT(G857,"mmm")</f>
        <v>Feb</v>
      </c>
      <c r="G857" s="3">
        <v>44981</v>
      </c>
      <c r="H857" s="4" t="s">
        <v>890</v>
      </c>
      <c r="I857" s="4" t="s">
        <v>24</v>
      </c>
      <c r="J857" s="4" t="str" cm="1">
        <f t="array" ref="J857">_xlfn.IFS(K857&lt;30,"Young Adult",K857&lt;=50,"Adult",K857&gt;50,"Senior")</f>
        <v>Adult</v>
      </c>
      <c r="K857" s="4">
        <v>32</v>
      </c>
      <c r="L857" s="4" t="s">
        <v>8</v>
      </c>
      <c r="M857" s="4">
        <v>4</v>
      </c>
      <c r="N857" s="19">
        <v>300</v>
      </c>
      <c r="O857" s="15">
        <f>M857 * N857</f>
        <v>1200</v>
      </c>
      <c r="P857" s="15">
        <f>O857*$S$3</f>
        <v>18</v>
      </c>
      <c r="Q857" s="15">
        <f>O857*$S$4</f>
        <v>24</v>
      </c>
    </row>
    <row r="858" spans="1:17">
      <c r="A858" s="2">
        <v>396</v>
      </c>
      <c r="B858" s="4">
        <f>DAY(G858)</f>
        <v>23</v>
      </c>
      <c r="C858" s="4">
        <f>MONTH(G858)</f>
        <v>2</v>
      </c>
      <c r="D858" s="4">
        <f>YEAR(G858)</f>
        <v>2023</v>
      </c>
      <c r="E858" s="4" t="str">
        <f>TEXT(G858,"dddd")</f>
        <v>Thursday</v>
      </c>
      <c r="F858" s="4" t="str">
        <f>TEXT(G858,"mmm")</f>
        <v>Feb</v>
      </c>
      <c r="G858" s="3">
        <v>44980</v>
      </c>
      <c r="H858" s="4" t="s">
        <v>891</v>
      </c>
      <c r="I858" s="4" t="s">
        <v>29</v>
      </c>
      <c r="J858" s="4" t="str" cm="1">
        <f t="array" ref="J858">_xlfn.IFS(K858&lt;30,"Young Adult",K858&lt;=50,"Adult",K858&gt;50,"Senior")</f>
        <v>Senior</v>
      </c>
      <c r="K858" s="4">
        <v>55</v>
      </c>
      <c r="L858" s="4" t="s">
        <v>7</v>
      </c>
      <c r="M858" s="4">
        <v>1</v>
      </c>
      <c r="N858" s="19">
        <v>30</v>
      </c>
      <c r="O858" s="15">
        <f>M858 * N858</f>
        <v>30</v>
      </c>
      <c r="P858" s="15">
        <f>O858*$S$3</f>
        <v>0.44999999999999996</v>
      </c>
      <c r="Q858" s="15">
        <f>O858*$S$4</f>
        <v>0.6</v>
      </c>
    </row>
    <row r="859" spans="1:17">
      <c r="A859" s="2">
        <v>780</v>
      </c>
      <c r="B859" s="4">
        <f>DAY(G859)</f>
        <v>22</v>
      </c>
      <c r="C859" s="4">
        <f>MONTH(G859)</f>
        <v>2</v>
      </c>
      <c r="D859" s="4">
        <f>YEAR(G859)</f>
        <v>2023</v>
      </c>
      <c r="E859" s="4" t="str">
        <f>TEXT(G859,"dddd")</f>
        <v>Wednesday</v>
      </c>
      <c r="F859" s="4" t="str">
        <f>TEXT(G859,"mmm")</f>
        <v>Feb</v>
      </c>
      <c r="G859" s="3">
        <v>44979</v>
      </c>
      <c r="H859" s="4" t="s">
        <v>892</v>
      </c>
      <c r="I859" s="4" t="s">
        <v>24</v>
      </c>
      <c r="J859" s="4" t="str" cm="1">
        <f t="array" ref="J859">_xlfn.IFS(K859&lt;30,"Young Adult",K859&lt;=50,"Adult",K859&gt;50,"Senior")</f>
        <v>Senior</v>
      </c>
      <c r="K859" s="4">
        <v>52</v>
      </c>
      <c r="L859" s="4" t="s">
        <v>9</v>
      </c>
      <c r="M859" s="4">
        <v>2</v>
      </c>
      <c r="N859" s="19">
        <v>25</v>
      </c>
      <c r="O859" s="15">
        <f>M859 * N859</f>
        <v>50</v>
      </c>
      <c r="P859" s="15">
        <f>O859*$S$3</f>
        <v>0.75</v>
      </c>
      <c r="Q859" s="15">
        <f>O859*$S$4</f>
        <v>1</v>
      </c>
    </row>
    <row r="860" spans="1:17">
      <c r="A860" s="2">
        <v>454</v>
      </c>
      <c r="B860" s="4">
        <f>DAY(G860)</f>
        <v>22</v>
      </c>
      <c r="C860" s="4">
        <f>MONTH(G860)</f>
        <v>2</v>
      </c>
      <c r="D860" s="4">
        <f>YEAR(G860)</f>
        <v>2023</v>
      </c>
      <c r="E860" s="4" t="str">
        <f>TEXT(G860,"dddd")</f>
        <v>Wednesday</v>
      </c>
      <c r="F860" s="4" t="str">
        <f>TEXT(G860,"mmm")</f>
        <v>Feb</v>
      </c>
      <c r="G860" s="3">
        <v>44979</v>
      </c>
      <c r="H860" s="4" t="s">
        <v>893</v>
      </c>
      <c r="I860" s="4" t="s">
        <v>29</v>
      </c>
      <c r="J860" s="4" t="str" cm="1">
        <f t="array" ref="J860">_xlfn.IFS(K860&lt;30,"Young Adult",K860&lt;=50,"Adult",K860&gt;50,"Senior")</f>
        <v>Adult</v>
      </c>
      <c r="K860" s="4">
        <v>46</v>
      </c>
      <c r="L860" s="4" t="s">
        <v>7</v>
      </c>
      <c r="M860" s="4">
        <v>1</v>
      </c>
      <c r="N860" s="19">
        <v>25</v>
      </c>
      <c r="O860" s="15">
        <f>M860 * N860</f>
        <v>25</v>
      </c>
      <c r="P860" s="15">
        <f>O860*$S$3</f>
        <v>0.375</v>
      </c>
      <c r="Q860" s="15">
        <f>O860*$S$4</f>
        <v>0.5</v>
      </c>
    </row>
    <row r="861" spans="1:17">
      <c r="A861" s="2">
        <v>41</v>
      </c>
      <c r="B861" s="4">
        <f>DAY(G861)</f>
        <v>22</v>
      </c>
      <c r="C861" s="4">
        <f>MONTH(G861)</f>
        <v>2</v>
      </c>
      <c r="D861" s="4">
        <f>YEAR(G861)</f>
        <v>2023</v>
      </c>
      <c r="E861" s="4" t="str">
        <f>TEXT(G861,"dddd")</f>
        <v>Wednesday</v>
      </c>
      <c r="F861" s="4" t="str">
        <f>TEXT(G861,"mmm")</f>
        <v>Feb</v>
      </c>
      <c r="G861" s="3">
        <v>44979</v>
      </c>
      <c r="H861" s="4" t="s">
        <v>894</v>
      </c>
      <c r="I861" s="4" t="s">
        <v>24</v>
      </c>
      <c r="J861" s="4" t="str" cm="1">
        <f t="array" ref="J861">_xlfn.IFS(K861&lt;30,"Young Adult",K861&lt;=50,"Adult",K861&gt;50,"Senior")</f>
        <v>Adult</v>
      </c>
      <c r="K861" s="4">
        <v>34</v>
      </c>
      <c r="L861" s="4" t="s">
        <v>8</v>
      </c>
      <c r="M861" s="4">
        <v>2</v>
      </c>
      <c r="N861" s="19">
        <v>25</v>
      </c>
      <c r="O861" s="15">
        <f>M861 * N861</f>
        <v>50</v>
      </c>
      <c r="P861" s="15">
        <f>O861*$S$3</f>
        <v>0.75</v>
      </c>
      <c r="Q861" s="15">
        <f>O861*$S$4</f>
        <v>1</v>
      </c>
    </row>
    <row r="862" spans="1:17">
      <c r="A862" s="2">
        <v>8</v>
      </c>
      <c r="B862" s="4">
        <f>DAY(G862)</f>
        <v>22</v>
      </c>
      <c r="C862" s="4">
        <f>MONTH(G862)</f>
        <v>2</v>
      </c>
      <c r="D862" s="4">
        <f>YEAR(G862)</f>
        <v>2023</v>
      </c>
      <c r="E862" s="4" t="str">
        <f>TEXT(G862,"dddd")</f>
        <v>Wednesday</v>
      </c>
      <c r="F862" s="4" t="str">
        <f>TEXT(G862,"mmm")</f>
        <v>Feb</v>
      </c>
      <c r="G862" s="3">
        <v>44979</v>
      </c>
      <c r="H862" s="4" t="s">
        <v>895</v>
      </c>
      <c r="I862" s="4" t="s">
        <v>24</v>
      </c>
      <c r="J862" s="4" t="str" cm="1">
        <f t="array" ref="J862">_xlfn.IFS(K862&lt;30,"Young Adult",K862&lt;=50,"Adult",K862&gt;50,"Senior")</f>
        <v>Adult</v>
      </c>
      <c r="K862" s="4">
        <v>30</v>
      </c>
      <c r="L862" s="4" t="s">
        <v>9</v>
      </c>
      <c r="M862" s="4">
        <v>4</v>
      </c>
      <c r="N862" s="19">
        <v>25</v>
      </c>
      <c r="O862" s="15">
        <f>M862 * N862</f>
        <v>100</v>
      </c>
      <c r="P862" s="15">
        <f>O862*$S$3</f>
        <v>1.5</v>
      </c>
      <c r="Q862" s="15">
        <f>O862*$S$4</f>
        <v>2</v>
      </c>
    </row>
    <row r="863" spans="1:17">
      <c r="A863" s="2">
        <v>920</v>
      </c>
      <c r="B863" s="4">
        <f>DAY(G863)</f>
        <v>22</v>
      </c>
      <c r="C863" s="4">
        <f>MONTH(G863)</f>
        <v>2</v>
      </c>
      <c r="D863" s="4">
        <f>YEAR(G863)</f>
        <v>2023</v>
      </c>
      <c r="E863" s="4" t="str">
        <f>TEXT(G863,"dddd")</f>
        <v>Wednesday</v>
      </c>
      <c r="F863" s="4" t="str">
        <f>TEXT(G863,"mmm")</f>
        <v>Feb</v>
      </c>
      <c r="G863" s="3">
        <v>44979</v>
      </c>
      <c r="H863" s="4" t="s">
        <v>896</v>
      </c>
      <c r="I863" s="4" t="s">
        <v>29</v>
      </c>
      <c r="J863" s="4" t="str" cm="1">
        <f t="array" ref="J863">_xlfn.IFS(K863&lt;30,"Young Adult",K863&lt;=50,"Adult",K863&gt;50,"Senior")</f>
        <v>Young Adult</v>
      </c>
      <c r="K863" s="4">
        <v>28</v>
      </c>
      <c r="L863" s="4" t="s">
        <v>7</v>
      </c>
      <c r="M863" s="4">
        <v>3</v>
      </c>
      <c r="N863" s="19">
        <v>25</v>
      </c>
      <c r="O863" s="15">
        <f>M863 * N863</f>
        <v>75</v>
      </c>
      <c r="P863" s="15">
        <f>O863*$S$3</f>
        <v>1.125</v>
      </c>
      <c r="Q863" s="15">
        <f>O863*$S$4</f>
        <v>1.5</v>
      </c>
    </row>
    <row r="864" spans="1:17">
      <c r="A864" s="2">
        <v>70</v>
      </c>
      <c r="B864" s="4">
        <f>DAY(G864)</f>
        <v>21</v>
      </c>
      <c r="C864" s="4">
        <f>MONTH(G864)</f>
        <v>2</v>
      </c>
      <c r="D864" s="4">
        <f>YEAR(G864)</f>
        <v>2023</v>
      </c>
      <c r="E864" s="4" t="str">
        <f>TEXT(G864,"dddd")</f>
        <v>Tuesday</v>
      </c>
      <c r="F864" s="4" t="str">
        <f>TEXT(G864,"mmm")</f>
        <v>Feb</v>
      </c>
      <c r="G864" s="3">
        <v>44978</v>
      </c>
      <c r="H864" s="4" t="s">
        <v>897</v>
      </c>
      <c r="I864" s="4" t="s">
        <v>29</v>
      </c>
      <c r="J864" s="4" t="str" cm="1">
        <f t="array" ref="J864">_xlfn.IFS(K864&lt;30,"Young Adult",K864&lt;=50,"Adult",K864&gt;50,"Senior")</f>
        <v>Adult</v>
      </c>
      <c r="K864" s="4">
        <v>43</v>
      </c>
      <c r="L864" s="4" t="s">
        <v>8</v>
      </c>
      <c r="M864" s="4">
        <v>1</v>
      </c>
      <c r="N864" s="19">
        <v>300</v>
      </c>
      <c r="O864" s="15">
        <f>M864 * N864</f>
        <v>300</v>
      </c>
      <c r="P864" s="15">
        <f>O864*$S$3</f>
        <v>4.5</v>
      </c>
      <c r="Q864" s="15">
        <f>O864*$S$4</f>
        <v>6</v>
      </c>
    </row>
    <row r="865" spans="1:17">
      <c r="A865" s="2">
        <v>900</v>
      </c>
      <c r="B865" s="4">
        <f>DAY(G865)</f>
        <v>21</v>
      </c>
      <c r="C865" s="4">
        <f>MONTH(G865)</f>
        <v>2</v>
      </c>
      <c r="D865" s="4">
        <f>YEAR(G865)</f>
        <v>2023</v>
      </c>
      <c r="E865" s="4" t="str">
        <f>TEXT(G865,"dddd")</f>
        <v>Tuesday</v>
      </c>
      <c r="F865" s="4" t="str">
        <f>TEXT(G865,"mmm")</f>
        <v>Feb</v>
      </c>
      <c r="G865" s="3">
        <v>44978</v>
      </c>
      <c r="H865" s="4" t="s">
        <v>898</v>
      </c>
      <c r="I865" s="4" t="s">
        <v>24</v>
      </c>
      <c r="J865" s="4" t="str" cm="1">
        <f t="array" ref="J865">_xlfn.IFS(K865&lt;30,"Young Adult",K865&lt;=50,"Adult",K865&gt;50,"Senior")</f>
        <v>Young Adult</v>
      </c>
      <c r="K865" s="4">
        <v>21</v>
      </c>
      <c r="L865" s="4" t="s">
        <v>8</v>
      </c>
      <c r="M865" s="4">
        <v>2</v>
      </c>
      <c r="N865" s="19">
        <v>30</v>
      </c>
      <c r="O865" s="15">
        <f>M865 * N865</f>
        <v>60</v>
      </c>
      <c r="P865" s="15">
        <f>O865*$S$3</f>
        <v>0.89999999999999991</v>
      </c>
      <c r="Q865" s="15">
        <f>O865*$S$4</f>
        <v>1.2</v>
      </c>
    </row>
    <row r="866" spans="1:17">
      <c r="A866" s="2">
        <v>371</v>
      </c>
      <c r="B866" s="4">
        <f>DAY(G866)</f>
        <v>21</v>
      </c>
      <c r="C866" s="4">
        <f>MONTH(G866)</f>
        <v>2</v>
      </c>
      <c r="D866" s="4">
        <f>YEAR(G866)</f>
        <v>2023</v>
      </c>
      <c r="E866" s="4" t="str">
        <f>TEXT(G866,"dddd")</f>
        <v>Tuesday</v>
      </c>
      <c r="F866" s="4" t="str">
        <f>TEXT(G866,"mmm")</f>
        <v>Feb</v>
      </c>
      <c r="G866" s="3">
        <v>44978</v>
      </c>
      <c r="H866" s="4" t="s">
        <v>899</v>
      </c>
      <c r="I866" s="4" t="s">
        <v>29</v>
      </c>
      <c r="J866" s="4" t="str" cm="1">
        <f t="array" ref="J866">_xlfn.IFS(K866&lt;30,"Young Adult",K866&lt;=50,"Adult",K866&gt;50,"Senior")</f>
        <v>Young Adult</v>
      </c>
      <c r="K866" s="4">
        <v>20</v>
      </c>
      <c r="L866" s="4" t="s">
        <v>7</v>
      </c>
      <c r="M866" s="4">
        <v>1</v>
      </c>
      <c r="N866" s="19">
        <v>25</v>
      </c>
      <c r="O866" s="15">
        <f>M866 * N866</f>
        <v>25</v>
      </c>
      <c r="P866" s="15">
        <f>O866*$S$3</f>
        <v>0.375</v>
      </c>
      <c r="Q866" s="15">
        <f>O866*$S$4</f>
        <v>0.5</v>
      </c>
    </row>
    <row r="867" spans="1:17">
      <c r="A867" s="2">
        <v>966</v>
      </c>
      <c r="B867" s="4">
        <f>DAY(G867)</f>
        <v>20</v>
      </c>
      <c r="C867" s="4">
        <f>MONTH(G867)</f>
        <v>2</v>
      </c>
      <c r="D867" s="4">
        <f>YEAR(G867)</f>
        <v>2023</v>
      </c>
      <c r="E867" s="4" t="str">
        <f>TEXT(G867,"dddd")</f>
        <v>Monday</v>
      </c>
      <c r="F867" s="4" t="str">
        <f>TEXT(G867,"mmm")</f>
        <v>Feb</v>
      </c>
      <c r="G867" s="3">
        <v>44977</v>
      </c>
      <c r="H867" s="4" t="s">
        <v>900</v>
      </c>
      <c r="I867" s="4" t="s">
        <v>24</v>
      </c>
      <c r="J867" s="4" t="str" cm="1">
        <f t="array" ref="J867">_xlfn.IFS(K867&lt;30,"Young Adult",K867&lt;=50,"Adult",K867&gt;50,"Senior")</f>
        <v>Senior</v>
      </c>
      <c r="K867" s="4">
        <v>60</v>
      </c>
      <c r="L867" s="4" t="s">
        <v>9</v>
      </c>
      <c r="M867" s="4">
        <v>2</v>
      </c>
      <c r="N867" s="19">
        <v>500</v>
      </c>
      <c r="O867" s="15">
        <f>M867 * N867</f>
        <v>1000</v>
      </c>
      <c r="P867" s="15">
        <f>O867*$S$3</f>
        <v>15</v>
      </c>
      <c r="Q867" s="15">
        <f>O867*$S$4</f>
        <v>20</v>
      </c>
    </row>
    <row r="868" spans="1:17">
      <c r="A868" s="2">
        <v>287</v>
      </c>
      <c r="B868" s="4">
        <f>DAY(G868)</f>
        <v>20</v>
      </c>
      <c r="C868" s="4">
        <f>MONTH(G868)</f>
        <v>2</v>
      </c>
      <c r="D868" s="4">
        <f>YEAR(G868)</f>
        <v>2023</v>
      </c>
      <c r="E868" s="4" t="str">
        <f>TEXT(G868,"dddd")</f>
        <v>Monday</v>
      </c>
      <c r="F868" s="4" t="str">
        <f>TEXT(G868,"mmm")</f>
        <v>Feb</v>
      </c>
      <c r="G868" s="3">
        <v>44977</v>
      </c>
      <c r="H868" s="4" t="s">
        <v>901</v>
      </c>
      <c r="I868" s="4" t="s">
        <v>24</v>
      </c>
      <c r="J868" s="4" t="str" cm="1">
        <f t="array" ref="J868">_xlfn.IFS(K868&lt;30,"Young Adult",K868&lt;=50,"Adult",K868&gt;50,"Senior")</f>
        <v>Senior</v>
      </c>
      <c r="K868" s="4">
        <v>54</v>
      </c>
      <c r="L868" s="4" t="s">
        <v>8</v>
      </c>
      <c r="M868" s="4">
        <v>4</v>
      </c>
      <c r="N868" s="19">
        <v>25</v>
      </c>
      <c r="O868" s="15">
        <f>M868 * N868</f>
        <v>100</v>
      </c>
      <c r="P868" s="15">
        <f>O868*$S$3</f>
        <v>1.5</v>
      </c>
      <c r="Q868" s="15">
        <f>O868*$S$4</f>
        <v>2</v>
      </c>
    </row>
    <row r="869" spans="1:17">
      <c r="A869" s="2">
        <v>268</v>
      </c>
      <c r="B869" s="4">
        <f>DAY(G869)</f>
        <v>20</v>
      </c>
      <c r="C869" s="4">
        <f>MONTH(G869)</f>
        <v>2</v>
      </c>
      <c r="D869" s="4">
        <f>YEAR(G869)</f>
        <v>2023</v>
      </c>
      <c r="E869" s="4" t="str">
        <f>TEXT(G869,"dddd")</f>
        <v>Monday</v>
      </c>
      <c r="F869" s="4" t="str">
        <f>TEXT(G869,"mmm")</f>
        <v>Feb</v>
      </c>
      <c r="G869" s="3">
        <v>44977</v>
      </c>
      <c r="H869" s="4" t="s">
        <v>902</v>
      </c>
      <c r="I869" s="4" t="s">
        <v>29</v>
      </c>
      <c r="J869" s="4" t="str" cm="1">
        <f t="array" ref="J869">_xlfn.IFS(K869&lt;30,"Young Adult",K869&lt;=50,"Adult",K869&gt;50,"Senior")</f>
        <v>Young Adult</v>
      </c>
      <c r="K869" s="4">
        <v>28</v>
      </c>
      <c r="L869" s="4" t="s">
        <v>9</v>
      </c>
      <c r="M869" s="4">
        <v>1</v>
      </c>
      <c r="N869" s="19">
        <v>30</v>
      </c>
      <c r="O869" s="15">
        <f>M869 * N869</f>
        <v>30</v>
      </c>
      <c r="P869" s="15">
        <f>O869*$S$3</f>
        <v>0.44999999999999996</v>
      </c>
      <c r="Q869" s="15">
        <f>O869*$S$4</f>
        <v>0.6</v>
      </c>
    </row>
    <row r="870" spans="1:17">
      <c r="A870" s="2">
        <v>44</v>
      </c>
      <c r="B870" s="4">
        <f>DAY(G870)</f>
        <v>19</v>
      </c>
      <c r="C870" s="4">
        <f>MONTH(G870)</f>
        <v>2</v>
      </c>
      <c r="D870" s="4">
        <f>YEAR(G870)</f>
        <v>2023</v>
      </c>
      <c r="E870" s="4" t="str">
        <f>TEXT(G870,"dddd")</f>
        <v>Sunday</v>
      </c>
      <c r="F870" s="4" t="str">
        <f>TEXT(G870,"mmm")</f>
        <v>Feb</v>
      </c>
      <c r="G870" s="3">
        <v>44976</v>
      </c>
      <c r="H870" s="4" t="s">
        <v>903</v>
      </c>
      <c r="I870" s="4" t="s">
        <v>29</v>
      </c>
      <c r="J870" s="4" t="str" cm="1">
        <f t="array" ref="J870">_xlfn.IFS(K870&lt;30,"Young Adult",K870&lt;=50,"Adult",K870&gt;50,"Senior")</f>
        <v>Young Adult</v>
      </c>
      <c r="K870" s="4">
        <v>22</v>
      </c>
      <c r="L870" s="4" t="s">
        <v>8</v>
      </c>
      <c r="M870" s="4">
        <v>1</v>
      </c>
      <c r="N870" s="19">
        <v>25</v>
      </c>
      <c r="O870" s="15">
        <f>M870 * N870</f>
        <v>25</v>
      </c>
      <c r="P870" s="15">
        <f>O870*$S$3</f>
        <v>0.375</v>
      </c>
      <c r="Q870" s="15">
        <f>O870*$S$4</f>
        <v>0.5</v>
      </c>
    </row>
    <row r="871" spans="1:17">
      <c r="A871" s="2">
        <v>257</v>
      </c>
      <c r="B871" s="4">
        <f>DAY(G871)</f>
        <v>19</v>
      </c>
      <c r="C871" s="4">
        <f>MONTH(G871)</f>
        <v>2</v>
      </c>
      <c r="D871" s="4">
        <f>YEAR(G871)</f>
        <v>2023</v>
      </c>
      <c r="E871" s="4" t="str">
        <f>TEXT(G871,"dddd")</f>
        <v>Sunday</v>
      </c>
      <c r="F871" s="4" t="str">
        <f>TEXT(G871,"mmm")</f>
        <v>Feb</v>
      </c>
      <c r="G871" s="3">
        <v>44976</v>
      </c>
      <c r="H871" s="4" t="s">
        <v>904</v>
      </c>
      <c r="I871" s="4" t="s">
        <v>24</v>
      </c>
      <c r="J871" s="4" t="str" cm="1">
        <f t="array" ref="J871">_xlfn.IFS(K871&lt;30,"Young Adult",K871&lt;=50,"Adult",K871&gt;50,"Senior")</f>
        <v>Young Adult</v>
      </c>
      <c r="K871" s="4">
        <v>19</v>
      </c>
      <c r="L871" s="4" t="s">
        <v>7</v>
      </c>
      <c r="M871" s="4">
        <v>4</v>
      </c>
      <c r="N871" s="19">
        <v>500</v>
      </c>
      <c r="O871" s="15">
        <f>M871 * N871</f>
        <v>2000</v>
      </c>
      <c r="P871" s="15">
        <f>O871*$S$3</f>
        <v>30</v>
      </c>
      <c r="Q871" s="15">
        <f>O871*$S$4</f>
        <v>40</v>
      </c>
    </row>
    <row r="872" spans="1:17">
      <c r="A872" s="2">
        <v>256</v>
      </c>
      <c r="B872" s="4">
        <f>DAY(G872)</f>
        <v>18</v>
      </c>
      <c r="C872" s="4">
        <f>MONTH(G872)</f>
        <v>2</v>
      </c>
      <c r="D872" s="4">
        <f>YEAR(G872)</f>
        <v>2023</v>
      </c>
      <c r="E872" s="4" t="str">
        <f>TEXT(G872,"dddd")</f>
        <v>Saturday</v>
      </c>
      <c r="F872" s="4" t="str">
        <f>TEXT(G872,"mmm")</f>
        <v>Feb</v>
      </c>
      <c r="G872" s="3">
        <v>44975</v>
      </c>
      <c r="H872" s="4" t="s">
        <v>905</v>
      </c>
      <c r="I872" s="4" t="s">
        <v>24</v>
      </c>
      <c r="J872" s="4" t="str" cm="1">
        <f t="array" ref="J872">_xlfn.IFS(K872&lt;30,"Young Adult",K872&lt;=50,"Adult",K872&gt;50,"Senior")</f>
        <v>Young Adult</v>
      </c>
      <c r="K872" s="4">
        <v>23</v>
      </c>
      <c r="L872" s="4" t="s">
        <v>8</v>
      </c>
      <c r="M872" s="4">
        <v>2</v>
      </c>
      <c r="N872" s="19">
        <v>500</v>
      </c>
      <c r="O872" s="15">
        <f>M872 * N872</f>
        <v>1000</v>
      </c>
      <c r="P872" s="15">
        <f>O872*$S$3</f>
        <v>15</v>
      </c>
      <c r="Q872" s="15">
        <f>O872*$S$4</f>
        <v>20</v>
      </c>
    </row>
    <row r="873" spans="1:17">
      <c r="A873" s="2">
        <v>416</v>
      </c>
      <c r="B873" s="4">
        <f>DAY(G873)</f>
        <v>17</v>
      </c>
      <c r="C873" s="4">
        <f>MONTH(G873)</f>
        <v>2</v>
      </c>
      <c r="D873" s="4">
        <f>YEAR(G873)</f>
        <v>2023</v>
      </c>
      <c r="E873" s="4" t="str">
        <f>TEXT(G873,"dddd")</f>
        <v>Friday</v>
      </c>
      <c r="F873" s="4" t="str">
        <f>TEXT(G873,"mmm")</f>
        <v>Feb</v>
      </c>
      <c r="G873" s="3">
        <v>44974</v>
      </c>
      <c r="H873" s="4" t="s">
        <v>906</v>
      </c>
      <c r="I873" s="4" t="s">
        <v>24</v>
      </c>
      <c r="J873" s="4" t="str" cm="1">
        <f t="array" ref="J873">_xlfn.IFS(K873&lt;30,"Young Adult",K873&lt;=50,"Adult",K873&gt;50,"Senior")</f>
        <v>Senior</v>
      </c>
      <c r="K873" s="4">
        <v>53</v>
      </c>
      <c r="L873" s="4" t="s">
        <v>9</v>
      </c>
      <c r="M873" s="4">
        <v>4</v>
      </c>
      <c r="N873" s="19">
        <v>500</v>
      </c>
      <c r="O873" s="15">
        <f>M873 * N873</f>
        <v>2000</v>
      </c>
      <c r="P873" s="15">
        <f>O873*$S$3</f>
        <v>30</v>
      </c>
      <c r="Q873" s="15">
        <f>O873*$S$4</f>
        <v>40</v>
      </c>
    </row>
    <row r="874" spans="1:17">
      <c r="A874" s="2">
        <v>861</v>
      </c>
      <c r="B874" s="4">
        <f>DAY(G874)</f>
        <v>17</v>
      </c>
      <c r="C874" s="4">
        <f>MONTH(G874)</f>
        <v>2</v>
      </c>
      <c r="D874" s="4">
        <f>YEAR(G874)</f>
        <v>2023</v>
      </c>
      <c r="E874" s="4" t="str">
        <f>TEXT(G874,"dddd")</f>
        <v>Friday</v>
      </c>
      <c r="F874" s="4" t="str">
        <f>TEXT(G874,"mmm")</f>
        <v>Feb</v>
      </c>
      <c r="G874" s="3">
        <v>44974</v>
      </c>
      <c r="H874" s="4" t="s">
        <v>907</v>
      </c>
      <c r="I874" s="4" t="s">
        <v>29</v>
      </c>
      <c r="J874" s="4" t="str" cm="1">
        <f t="array" ref="J874">_xlfn.IFS(K874&lt;30,"Young Adult",K874&lt;=50,"Adult",K874&gt;50,"Senior")</f>
        <v>Adult</v>
      </c>
      <c r="K874" s="4">
        <v>41</v>
      </c>
      <c r="L874" s="4" t="s">
        <v>8</v>
      </c>
      <c r="M874" s="4">
        <v>3</v>
      </c>
      <c r="N874" s="19">
        <v>30</v>
      </c>
      <c r="O874" s="15">
        <f>M874 * N874</f>
        <v>90</v>
      </c>
      <c r="P874" s="15">
        <f>O874*$S$3</f>
        <v>1.3499999999999999</v>
      </c>
      <c r="Q874" s="15">
        <f>O874*$S$4</f>
        <v>1.8</v>
      </c>
    </row>
    <row r="875" spans="1:17">
      <c r="A875" s="2">
        <v>584</v>
      </c>
      <c r="B875" s="4">
        <f>DAY(G875)</f>
        <v>17</v>
      </c>
      <c r="C875" s="4">
        <f>MONTH(G875)</f>
        <v>2</v>
      </c>
      <c r="D875" s="4">
        <f>YEAR(G875)</f>
        <v>2023</v>
      </c>
      <c r="E875" s="4" t="str">
        <f>TEXT(G875,"dddd")</f>
        <v>Friday</v>
      </c>
      <c r="F875" s="4" t="str">
        <f>TEXT(G875,"mmm")</f>
        <v>Feb</v>
      </c>
      <c r="G875" s="3">
        <v>44974</v>
      </c>
      <c r="H875" s="4" t="s">
        <v>908</v>
      </c>
      <c r="I875" s="4" t="s">
        <v>29</v>
      </c>
      <c r="J875" s="4" t="str" cm="1">
        <f t="array" ref="J875">_xlfn.IFS(K875&lt;30,"Young Adult",K875&lt;=50,"Adult",K875&gt;50,"Senior")</f>
        <v>Young Adult</v>
      </c>
      <c r="K875" s="4">
        <v>27</v>
      </c>
      <c r="L875" s="4" t="s">
        <v>7</v>
      </c>
      <c r="M875" s="4">
        <v>4</v>
      </c>
      <c r="N875" s="19">
        <v>50</v>
      </c>
      <c r="O875" s="15">
        <f>M875 * N875</f>
        <v>200</v>
      </c>
      <c r="P875" s="15">
        <f>O875*$S$3</f>
        <v>3</v>
      </c>
      <c r="Q875" s="15">
        <f>O875*$S$4</f>
        <v>4</v>
      </c>
    </row>
    <row r="876" spans="1:17">
      <c r="A876" s="2">
        <v>42</v>
      </c>
      <c r="B876" s="4">
        <f>DAY(G876)</f>
        <v>17</v>
      </c>
      <c r="C876" s="4">
        <f>MONTH(G876)</f>
        <v>2</v>
      </c>
      <c r="D876" s="4">
        <f>YEAR(G876)</f>
        <v>2023</v>
      </c>
      <c r="E876" s="4" t="str">
        <f>TEXT(G876,"dddd")</f>
        <v>Friday</v>
      </c>
      <c r="F876" s="4" t="str">
        <f>TEXT(G876,"mmm")</f>
        <v>Feb</v>
      </c>
      <c r="G876" s="3">
        <v>44974</v>
      </c>
      <c r="H876" s="4" t="s">
        <v>909</v>
      </c>
      <c r="I876" s="4" t="s">
        <v>24</v>
      </c>
      <c r="J876" s="4" t="str" cm="1">
        <f t="array" ref="J876">_xlfn.IFS(K876&lt;30,"Young Adult",K876&lt;=50,"Adult",K876&gt;50,"Senior")</f>
        <v>Young Adult</v>
      </c>
      <c r="K876" s="4">
        <v>22</v>
      </c>
      <c r="L876" s="4" t="s">
        <v>8</v>
      </c>
      <c r="M876" s="4">
        <v>3</v>
      </c>
      <c r="N876" s="19">
        <v>300</v>
      </c>
      <c r="O876" s="15">
        <f>M876 * N876</f>
        <v>900</v>
      </c>
      <c r="P876" s="15">
        <f>O876*$S$3</f>
        <v>13.5</v>
      </c>
      <c r="Q876" s="15">
        <f>O876*$S$4</f>
        <v>18</v>
      </c>
    </row>
    <row r="877" spans="1:17">
      <c r="A877" s="2">
        <v>292</v>
      </c>
      <c r="B877" s="4">
        <f>DAY(G877)</f>
        <v>17</v>
      </c>
      <c r="C877" s="4">
        <f>MONTH(G877)</f>
        <v>2</v>
      </c>
      <c r="D877" s="4">
        <f>YEAR(G877)</f>
        <v>2023</v>
      </c>
      <c r="E877" s="4" t="str">
        <f>TEXT(G877,"dddd")</f>
        <v>Friday</v>
      </c>
      <c r="F877" s="4" t="str">
        <f>TEXT(G877,"mmm")</f>
        <v>Feb</v>
      </c>
      <c r="G877" s="3">
        <v>44974</v>
      </c>
      <c r="H877" s="4" t="s">
        <v>910</v>
      </c>
      <c r="I877" s="4" t="s">
        <v>24</v>
      </c>
      <c r="J877" s="4" t="str" cm="1">
        <f t="array" ref="J877">_xlfn.IFS(K877&lt;30,"Young Adult",K877&lt;=50,"Adult",K877&gt;50,"Senior")</f>
        <v>Young Adult</v>
      </c>
      <c r="K877" s="4">
        <v>20</v>
      </c>
      <c r="L877" s="4" t="s">
        <v>7</v>
      </c>
      <c r="M877" s="4">
        <v>4</v>
      </c>
      <c r="N877" s="19">
        <v>300</v>
      </c>
      <c r="O877" s="15">
        <f>M877 * N877</f>
        <v>1200</v>
      </c>
      <c r="P877" s="15">
        <f>O877*$S$3</f>
        <v>18</v>
      </c>
      <c r="Q877" s="15">
        <f>O877*$S$4</f>
        <v>24</v>
      </c>
    </row>
    <row r="878" spans="1:17">
      <c r="A878" s="2">
        <v>16</v>
      </c>
      <c r="B878" s="4">
        <f>DAY(G878)</f>
        <v>17</v>
      </c>
      <c r="C878" s="4">
        <f>MONTH(G878)</f>
        <v>2</v>
      </c>
      <c r="D878" s="4">
        <f>YEAR(G878)</f>
        <v>2023</v>
      </c>
      <c r="E878" s="4" t="str">
        <f>TEXT(G878,"dddd")</f>
        <v>Friday</v>
      </c>
      <c r="F878" s="4" t="str">
        <f>TEXT(G878,"mmm")</f>
        <v>Feb</v>
      </c>
      <c r="G878" s="3">
        <v>44974</v>
      </c>
      <c r="H878" s="4" t="s">
        <v>911</v>
      </c>
      <c r="I878" s="4" t="s">
        <v>24</v>
      </c>
      <c r="J878" s="4" t="str" cm="1">
        <f t="array" ref="J878">_xlfn.IFS(K878&lt;30,"Young Adult",K878&lt;=50,"Adult",K878&gt;50,"Senior")</f>
        <v>Young Adult</v>
      </c>
      <c r="K878" s="4">
        <v>19</v>
      </c>
      <c r="L878" s="4" t="s">
        <v>8</v>
      </c>
      <c r="M878" s="4">
        <v>3</v>
      </c>
      <c r="N878" s="19">
        <v>500</v>
      </c>
      <c r="O878" s="15">
        <f>M878 * N878</f>
        <v>1500</v>
      </c>
      <c r="P878" s="15">
        <f>O878*$S$3</f>
        <v>22.5</v>
      </c>
      <c r="Q878" s="15">
        <f>O878*$S$4</f>
        <v>30</v>
      </c>
    </row>
    <row r="879" spans="1:17">
      <c r="A879" s="2">
        <v>133</v>
      </c>
      <c r="B879" s="4">
        <f>DAY(G879)</f>
        <v>16</v>
      </c>
      <c r="C879" s="4">
        <f>MONTH(G879)</f>
        <v>2</v>
      </c>
      <c r="D879" s="4">
        <f>YEAR(G879)</f>
        <v>2023</v>
      </c>
      <c r="E879" s="4" t="str">
        <f>TEXT(G879,"dddd")</f>
        <v>Thursday</v>
      </c>
      <c r="F879" s="4" t="str">
        <f>TEXT(G879,"mmm")</f>
        <v>Feb</v>
      </c>
      <c r="G879" s="3">
        <v>44973</v>
      </c>
      <c r="H879" s="4" t="s">
        <v>912</v>
      </c>
      <c r="I879" s="4" t="s">
        <v>24</v>
      </c>
      <c r="J879" s="4" t="str" cm="1">
        <f t="array" ref="J879">_xlfn.IFS(K879&lt;30,"Young Adult",K879&lt;=50,"Adult",K879&gt;50,"Senior")</f>
        <v>Young Adult</v>
      </c>
      <c r="K879" s="4">
        <v>20</v>
      </c>
      <c r="L879" s="4" t="s">
        <v>9</v>
      </c>
      <c r="M879" s="4">
        <v>3</v>
      </c>
      <c r="N879" s="19">
        <v>300</v>
      </c>
      <c r="O879" s="15">
        <f>M879 * N879</f>
        <v>900</v>
      </c>
      <c r="P879" s="15">
        <f>O879*$S$3</f>
        <v>13.5</v>
      </c>
      <c r="Q879" s="15">
        <f>O879*$S$4</f>
        <v>18</v>
      </c>
    </row>
    <row r="880" spans="1:17">
      <c r="A880" s="2">
        <v>821</v>
      </c>
      <c r="B880" s="4">
        <f>DAY(G880)</f>
        <v>14</v>
      </c>
      <c r="C880" s="4">
        <f>MONTH(G880)</f>
        <v>2</v>
      </c>
      <c r="D880" s="4">
        <f>YEAR(G880)</f>
        <v>2023</v>
      </c>
      <c r="E880" s="4" t="str">
        <f>TEXT(G880,"dddd")</f>
        <v>Tuesday</v>
      </c>
      <c r="F880" s="4" t="str">
        <f>TEXT(G880,"mmm")</f>
        <v>Feb</v>
      </c>
      <c r="G880" s="3">
        <v>44971</v>
      </c>
      <c r="H880" s="4" t="s">
        <v>913</v>
      </c>
      <c r="I880" s="4" t="s">
        <v>24</v>
      </c>
      <c r="J880" s="4" t="str" cm="1">
        <f t="array" ref="J880">_xlfn.IFS(K880&lt;30,"Young Adult",K880&lt;=50,"Adult",K880&gt;50,"Senior")</f>
        <v>Adult</v>
      </c>
      <c r="K880" s="4">
        <v>49</v>
      </c>
      <c r="L880" s="4" t="s">
        <v>9</v>
      </c>
      <c r="M880" s="4">
        <v>1</v>
      </c>
      <c r="N880" s="19">
        <v>300</v>
      </c>
      <c r="O880" s="15">
        <f>M880 * N880</f>
        <v>300</v>
      </c>
      <c r="P880" s="15">
        <f>O880*$S$3</f>
        <v>4.5</v>
      </c>
      <c r="Q880" s="15">
        <f>O880*$S$4</f>
        <v>6</v>
      </c>
    </row>
    <row r="881" spans="1:17">
      <c r="A881" s="2">
        <v>11</v>
      </c>
      <c r="B881" s="4">
        <f>DAY(G881)</f>
        <v>14</v>
      </c>
      <c r="C881" s="4">
        <f>MONTH(G881)</f>
        <v>2</v>
      </c>
      <c r="D881" s="4">
        <f>YEAR(G881)</f>
        <v>2023</v>
      </c>
      <c r="E881" s="4" t="str">
        <f>TEXT(G881,"dddd")</f>
        <v>Tuesday</v>
      </c>
      <c r="F881" s="4" t="str">
        <f>TEXT(G881,"mmm")</f>
        <v>Feb</v>
      </c>
      <c r="G881" s="3">
        <v>44971</v>
      </c>
      <c r="H881" s="4" t="s">
        <v>914</v>
      </c>
      <c r="I881" s="4" t="s">
        <v>24</v>
      </c>
      <c r="J881" s="4" t="str" cm="1">
        <f t="array" ref="J881">_xlfn.IFS(K881&lt;30,"Young Adult",K881&lt;=50,"Adult",K881&gt;50,"Senior")</f>
        <v>Young Adult</v>
      </c>
      <c r="K881" s="4">
        <v>23</v>
      </c>
      <c r="L881" s="4" t="s">
        <v>8</v>
      </c>
      <c r="M881" s="4">
        <v>2</v>
      </c>
      <c r="N881" s="19">
        <v>50</v>
      </c>
      <c r="O881" s="15">
        <f>M881 * N881</f>
        <v>100</v>
      </c>
      <c r="P881" s="15">
        <f>O881*$S$3</f>
        <v>1.5</v>
      </c>
      <c r="Q881" s="15">
        <f>O881*$S$4</f>
        <v>2</v>
      </c>
    </row>
    <row r="882" spans="1:17">
      <c r="A882" s="2">
        <v>848</v>
      </c>
      <c r="B882" s="4">
        <f>DAY(G882)</f>
        <v>13</v>
      </c>
      <c r="C882" s="4">
        <f>MONTH(G882)</f>
        <v>2</v>
      </c>
      <c r="D882" s="4">
        <f>YEAR(G882)</f>
        <v>2023</v>
      </c>
      <c r="E882" s="4" t="str">
        <f>TEXT(G882,"dddd")</f>
        <v>Monday</v>
      </c>
      <c r="F882" s="4" t="str">
        <f>TEXT(G882,"mmm")</f>
        <v>Feb</v>
      </c>
      <c r="G882" s="3">
        <v>44970</v>
      </c>
      <c r="H882" s="4" t="s">
        <v>915</v>
      </c>
      <c r="I882" s="4" t="s">
        <v>29</v>
      </c>
      <c r="J882" s="4" t="str" cm="1">
        <f t="array" ref="J882">_xlfn.IFS(K882&lt;30,"Young Adult",K882&lt;=50,"Adult",K882&gt;50,"Senior")</f>
        <v>Senior</v>
      </c>
      <c r="K882" s="4">
        <v>63</v>
      </c>
      <c r="L882" s="4" t="s">
        <v>8</v>
      </c>
      <c r="M882" s="4">
        <v>3</v>
      </c>
      <c r="N882" s="19">
        <v>25</v>
      </c>
      <c r="O882" s="15">
        <f>M882 * N882</f>
        <v>75</v>
      </c>
      <c r="P882" s="15">
        <f>O882*$S$3</f>
        <v>1.125</v>
      </c>
      <c r="Q882" s="15">
        <f>O882*$S$4</f>
        <v>1.5</v>
      </c>
    </row>
    <row r="883" spans="1:17">
      <c r="A883" s="2">
        <v>193</v>
      </c>
      <c r="B883" s="4">
        <f>DAY(G883)</f>
        <v>13</v>
      </c>
      <c r="C883" s="4">
        <f>MONTH(G883)</f>
        <v>2</v>
      </c>
      <c r="D883" s="4">
        <f>YEAR(G883)</f>
        <v>2023</v>
      </c>
      <c r="E883" s="4" t="str">
        <f>TEXT(G883,"dddd")</f>
        <v>Monday</v>
      </c>
      <c r="F883" s="4" t="str">
        <f>TEXT(G883,"mmm")</f>
        <v>Feb</v>
      </c>
      <c r="G883" s="3">
        <v>44970</v>
      </c>
      <c r="H883" s="4" t="s">
        <v>916</v>
      </c>
      <c r="I883" s="4" t="s">
        <v>24</v>
      </c>
      <c r="J883" s="4" t="str" cm="1">
        <f t="array" ref="J883">_xlfn.IFS(K883&lt;30,"Young Adult",K883&lt;=50,"Adult",K883&gt;50,"Senior")</f>
        <v>Adult</v>
      </c>
      <c r="K883" s="4">
        <v>35</v>
      </c>
      <c r="L883" s="4" t="s">
        <v>7</v>
      </c>
      <c r="M883" s="4">
        <v>3</v>
      </c>
      <c r="N883" s="19">
        <v>500</v>
      </c>
      <c r="O883" s="15">
        <f>M883 * N883</f>
        <v>1500</v>
      </c>
      <c r="P883" s="15">
        <f>O883*$S$3</f>
        <v>22.5</v>
      </c>
      <c r="Q883" s="15">
        <f>O883*$S$4</f>
        <v>30</v>
      </c>
    </row>
    <row r="884" spans="1:17">
      <c r="A884" s="2">
        <v>945</v>
      </c>
      <c r="B884" s="4">
        <f>DAY(G884)</f>
        <v>13</v>
      </c>
      <c r="C884" s="4">
        <f>MONTH(G884)</f>
        <v>2</v>
      </c>
      <c r="D884" s="4">
        <f>YEAR(G884)</f>
        <v>2023</v>
      </c>
      <c r="E884" s="4" t="str">
        <f>TEXT(G884,"dddd")</f>
        <v>Monday</v>
      </c>
      <c r="F884" s="4" t="str">
        <f>TEXT(G884,"mmm")</f>
        <v>Feb</v>
      </c>
      <c r="G884" s="3">
        <v>44970</v>
      </c>
      <c r="H884" s="4" t="s">
        <v>917</v>
      </c>
      <c r="I884" s="4" t="s">
        <v>24</v>
      </c>
      <c r="J884" s="4" t="str" cm="1">
        <f t="array" ref="J884">_xlfn.IFS(K884&lt;30,"Young Adult",K884&lt;=50,"Adult",K884&gt;50,"Senior")</f>
        <v>Adult</v>
      </c>
      <c r="K884" s="4">
        <v>30</v>
      </c>
      <c r="L884" s="4" t="s">
        <v>7</v>
      </c>
      <c r="M884" s="4">
        <v>1</v>
      </c>
      <c r="N884" s="19">
        <v>25</v>
      </c>
      <c r="O884" s="15">
        <f>M884 * N884</f>
        <v>25</v>
      </c>
      <c r="P884" s="15">
        <f>O884*$S$3</f>
        <v>0.375</v>
      </c>
      <c r="Q884" s="15">
        <f>O884*$S$4</f>
        <v>0.5</v>
      </c>
    </row>
    <row r="885" spans="1:17">
      <c r="A885" s="2">
        <v>577</v>
      </c>
      <c r="B885" s="4">
        <f>DAY(G885)</f>
        <v>13</v>
      </c>
      <c r="C885" s="4">
        <f>MONTH(G885)</f>
        <v>2</v>
      </c>
      <c r="D885" s="4">
        <f>YEAR(G885)</f>
        <v>2023</v>
      </c>
      <c r="E885" s="4" t="str">
        <f>TEXT(G885,"dddd")</f>
        <v>Monday</v>
      </c>
      <c r="F885" s="4" t="str">
        <f>TEXT(G885,"mmm")</f>
        <v>Feb</v>
      </c>
      <c r="G885" s="3">
        <v>44970</v>
      </c>
      <c r="H885" s="4" t="s">
        <v>918</v>
      </c>
      <c r="I885" s="4" t="s">
        <v>24</v>
      </c>
      <c r="J885" s="4" t="str" cm="1">
        <f t="array" ref="J885">_xlfn.IFS(K885&lt;30,"Young Adult",K885&lt;=50,"Adult",K885&gt;50,"Senior")</f>
        <v>Young Adult</v>
      </c>
      <c r="K885" s="4">
        <v>21</v>
      </c>
      <c r="L885" s="4" t="s">
        <v>7</v>
      </c>
      <c r="M885" s="4">
        <v>4</v>
      </c>
      <c r="N885" s="19">
        <v>500</v>
      </c>
      <c r="O885" s="15">
        <f>M885 * N885</f>
        <v>2000</v>
      </c>
      <c r="P885" s="15">
        <f>O885*$S$3</f>
        <v>30</v>
      </c>
      <c r="Q885" s="15">
        <f>O885*$S$4</f>
        <v>40</v>
      </c>
    </row>
    <row r="886" spans="1:17">
      <c r="A886" s="2">
        <v>714</v>
      </c>
      <c r="B886" s="4">
        <f>DAY(G886)</f>
        <v>12</v>
      </c>
      <c r="C886" s="4">
        <f>MONTH(G886)</f>
        <v>2</v>
      </c>
      <c r="D886" s="4">
        <f>YEAR(G886)</f>
        <v>2023</v>
      </c>
      <c r="E886" s="4" t="str">
        <f>TEXT(G886,"dddd")</f>
        <v>Sunday</v>
      </c>
      <c r="F886" s="4" t="str">
        <f>TEXT(G886,"mmm")</f>
        <v>Feb</v>
      </c>
      <c r="G886" s="3">
        <v>44969</v>
      </c>
      <c r="H886" s="4" t="s">
        <v>919</v>
      </c>
      <c r="I886" s="4" t="s">
        <v>29</v>
      </c>
      <c r="J886" s="4" t="str" cm="1">
        <f t="array" ref="J886">_xlfn.IFS(K886&lt;30,"Young Adult",K886&lt;=50,"Adult",K886&gt;50,"Senior")</f>
        <v>Young Adult</v>
      </c>
      <c r="K886" s="4">
        <v>18</v>
      </c>
      <c r="L886" s="4" t="s">
        <v>8</v>
      </c>
      <c r="M886" s="4">
        <v>1</v>
      </c>
      <c r="N886" s="19">
        <v>500</v>
      </c>
      <c r="O886" s="15">
        <f>M886 * N886</f>
        <v>500</v>
      </c>
      <c r="P886" s="15">
        <f>O886*$S$3</f>
        <v>7.5</v>
      </c>
      <c r="Q886" s="15">
        <f>O886*$S$4</f>
        <v>10</v>
      </c>
    </row>
    <row r="887" spans="1:17">
      <c r="A887" s="2">
        <v>732</v>
      </c>
      <c r="B887" s="4">
        <f>DAY(G887)</f>
        <v>11</v>
      </c>
      <c r="C887" s="4">
        <f>MONTH(G887)</f>
        <v>2</v>
      </c>
      <c r="D887" s="4">
        <f>YEAR(G887)</f>
        <v>2023</v>
      </c>
      <c r="E887" s="4" t="str">
        <f>TEXT(G887,"dddd")</f>
        <v>Saturday</v>
      </c>
      <c r="F887" s="4" t="str">
        <f>TEXT(G887,"mmm")</f>
        <v>Feb</v>
      </c>
      <c r="G887" s="3">
        <v>44968</v>
      </c>
      <c r="H887" s="4" t="s">
        <v>920</v>
      </c>
      <c r="I887" s="4" t="s">
        <v>24</v>
      </c>
      <c r="J887" s="4" t="str" cm="1">
        <f t="array" ref="J887">_xlfn.IFS(K887&lt;30,"Young Adult",K887&lt;=50,"Adult",K887&gt;50,"Senior")</f>
        <v>Senior</v>
      </c>
      <c r="K887" s="4">
        <v>61</v>
      </c>
      <c r="L887" s="4" t="s">
        <v>9</v>
      </c>
      <c r="M887" s="4">
        <v>2</v>
      </c>
      <c r="N887" s="19">
        <v>500</v>
      </c>
      <c r="O887" s="15">
        <f>M887 * N887</f>
        <v>1000</v>
      </c>
      <c r="P887" s="15">
        <f>O887*$S$3</f>
        <v>15</v>
      </c>
      <c r="Q887" s="15">
        <f>O887*$S$4</f>
        <v>20</v>
      </c>
    </row>
    <row r="888" spans="1:17">
      <c r="A888" s="2">
        <v>346</v>
      </c>
      <c r="B888" s="4">
        <f>DAY(G888)</f>
        <v>11</v>
      </c>
      <c r="C888" s="4">
        <f>MONTH(G888)</f>
        <v>2</v>
      </c>
      <c r="D888" s="4">
        <f>YEAR(G888)</f>
        <v>2023</v>
      </c>
      <c r="E888" s="4" t="str">
        <f>TEXT(G888,"dddd")</f>
        <v>Saturday</v>
      </c>
      <c r="F888" s="4" t="str">
        <f>TEXT(G888,"mmm")</f>
        <v>Feb</v>
      </c>
      <c r="G888" s="3">
        <v>44968</v>
      </c>
      <c r="H888" s="4" t="s">
        <v>921</v>
      </c>
      <c r="I888" s="4" t="s">
        <v>24</v>
      </c>
      <c r="J888" s="4" t="str" cm="1">
        <f t="array" ref="J888">_xlfn.IFS(K888&lt;30,"Young Adult",K888&lt;=50,"Adult",K888&gt;50,"Senior")</f>
        <v>Senior</v>
      </c>
      <c r="K888" s="4">
        <v>59</v>
      </c>
      <c r="L888" s="4" t="s">
        <v>8</v>
      </c>
      <c r="M888" s="4">
        <v>2</v>
      </c>
      <c r="N888" s="19">
        <v>500</v>
      </c>
      <c r="O888" s="15">
        <f>M888 * N888</f>
        <v>1000</v>
      </c>
      <c r="P888" s="15">
        <f>O888*$S$3</f>
        <v>15</v>
      </c>
      <c r="Q888" s="15">
        <f>O888*$S$4</f>
        <v>20</v>
      </c>
    </row>
    <row r="889" spans="1:17">
      <c r="A889" s="2">
        <v>972</v>
      </c>
      <c r="B889" s="4">
        <f>DAY(G889)</f>
        <v>11</v>
      </c>
      <c r="C889" s="4">
        <f>MONTH(G889)</f>
        <v>2</v>
      </c>
      <c r="D889" s="4">
        <f>YEAR(G889)</f>
        <v>2023</v>
      </c>
      <c r="E889" s="4" t="str">
        <f>TEXT(G889,"dddd")</f>
        <v>Saturday</v>
      </c>
      <c r="F889" s="4" t="str">
        <f>TEXT(G889,"mmm")</f>
        <v>Feb</v>
      </c>
      <c r="G889" s="3">
        <v>44968</v>
      </c>
      <c r="H889" s="4" t="s">
        <v>922</v>
      </c>
      <c r="I889" s="4" t="s">
        <v>24</v>
      </c>
      <c r="J889" s="4" t="str" cm="1">
        <f t="array" ref="J889">_xlfn.IFS(K889&lt;30,"Young Adult",K889&lt;=50,"Adult",K889&gt;50,"Senior")</f>
        <v>Adult</v>
      </c>
      <c r="K889" s="4">
        <v>49</v>
      </c>
      <c r="L889" s="4" t="s">
        <v>7</v>
      </c>
      <c r="M889" s="4">
        <v>4</v>
      </c>
      <c r="N889" s="19">
        <v>25</v>
      </c>
      <c r="O889" s="15">
        <f>M889 * N889</f>
        <v>100</v>
      </c>
      <c r="P889" s="15">
        <f>O889*$S$3</f>
        <v>1.5</v>
      </c>
      <c r="Q889" s="15">
        <f>O889*$S$4</f>
        <v>2</v>
      </c>
    </row>
    <row r="890" spans="1:17">
      <c r="A890" s="2">
        <v>657</v>
      </c>
      <c r="B890" s="4">
        <f>DAY(G890)</f>
        <v>11</v>
      </c>
      <c r="C890" s="4">
        <f>MONTH(G890)</f>
        <v>2</v>
      </c>
      <c r="D890" s="4">
        <f>YEAR(G890)</f>
        <v>2023</v>
      </c>
      <c r="E890" s="4" t="str">
        <f>TEXT(G890,"dddd")</f>
        <v>Saturday</v>
      </c>
      <c r="F890" s="4" t="str">
        <f>TEXT(G890,"mmm")</f>
        <v>Feb</v>
      </c>
      <c r="G890" s="3">
        <v>44968</v>
      </c>
      <c r="H890" s="4" t="s">
        <v>923</v>
      </c>
      <c r="I890" s="4" t="s">
        <v>24</v>
      </c>
      <c r="J890" s="4" t="str" cm="1">
        <f t="array" ref="J890">_xlfn.IFS(K890&lt;30,"Young Adult",K890&lt;=50,"Adult",K890&gt;50,"Senior")</f>
        <v>Adult</v>
      </c>
      <c r="K890" s="4">
        <v>40</v>
      </c>
      <c r="L890" s="4" t="s">
        <v>8</v>
      </c>
      <c r="M890" s="4">
        <v>1</v>
      </c>
      <c r="N890" s="19">
        <v>25</v>
      </c>
      <c r="O890" s="15">
        <f>M890 * N890</f>
        <v>25</v>
      </c>
      <c r="P890" s="15">
        <f>O890*$S$3</f>
        <v>0.375</v>
      </c>
      <c r="Q890" s="15">
        <f>O890*$S$4</f>
        <v>0.5</v>
      </c>
    </row>
    <row r="891" spans="1:17">
      <c r="A891" s="2">
        <v>331</v>
      </c>
      <c r="B891" s="4">
        <f>DAY(G891)</f>
        <v>11</v>
      </c>
      <c r="C891" s="4">
        <f>MONTH(G891)</f>
        <v>2</v>
      </c>
      <c r="D891" s="4">
        <f>YEAR(G891)</f>
        <v>2023</v>
      </c>
      <c r="E891" s="4" t="str">
        <f>TEXT(G891,"dddd")</f>
        <v>Saturday</v>
      </c>
      <c r="F891" s="4" t="str">
        <f>TEXT(G891,"mmm")</f>
        <v>Feb</v>
      </c>
      <c r="G891" s="3">
        <v>44968</v>
      </c>
      <c r="H891" s="4" t="s">
        <v>924</v>
      </c>
      <c r="I891" s="4" t="s">
        <v>24</v>
      </c>
      <c r="J891" s="4" t="str" cm="1">
        <f t="array" ref="J891">_xlfn.IFS(K891&lt;30,"Young Adult",K891&lt;=50,"Adult",K891&gt;50,"Senior")</f>
        <v>Young Adult</v>
      </c>
      <c r="K891" s="4">
        <v>28</v>
      </c>
      <c r="L891" s="4" t="s">
        <v>9</v>
      </c>
      <c r="M891" s="4">
        <v>3</v>
      </c>
      <c r="N891" s="19">
        <v>30</v>
      </c>
      <c r="O891" s="15">
        <f>M891 * N891</f>
        <v>90</v>
      </c>
      <c r="P891" s="15">
        <f>O891*$S$3</f>
        <v>1.3499999999999999</v>
      </c>
      <c r="Q891" s="15">
        <f>O891*$S$4</f>
        <v>1.8</v>
      </c>
    </row>
    <row r="892" spans="1:17">
      <c r="A892" s="2">
        <v>192</v>
      </c>
      <c r="B892" s="4">
        <f>DAY(G892)</f>
        <v>10</v>
      </c>
      <c r="C892" s="4">
        <f>MONTH(G892)</f>
        <v>2</v>
      </c>
      <c r="D892" s="4">
        <f>YEAR(G892)</f>
        <v>2023</v>
      </c>
      <c r="E892" s="4" t="str">
        <f>TEXT(G892,"dddd")</f>
        <v>Friday</v>
      </c>
      <c r="F892" s="4" t="str">
        <f>TEXT(G892,"mmm")</f>
        <v>Feb</v>
      </c>
      <c r="G892" s="3">
        <v>44967</v>
      </c>
      <c r="H892" s="4" t="s">
        <v>925</v>
      </c>
      <c r="I892" s="4" t="s">
        <v>24</v>
      </c>
      <c r="J892" s="4" t="str" cm="1">
        <f t="array" ref="J892">_xlfn.IFS(K892&lt;30,"Young Adult",K892&lt;=50,"Adult",K892&gt;50,"Senior")</f>
        <v>Senior</v>
      </c>
      <c r="K892" s="4">
        <v>62</v>
      </c>
      <c r="L892" s="4" t="s">
        <v>7</v>
      </c>
      <c r="M892" s="4">
        <v>2</v>
      </c>
      <c r="N892" s="19">
        <v>50</v>
      </c>
      <c r="O892" s="15">
        <f>M892 * N892</f>
        <v>100</v>
      </c>
      <c r="P892" s="15">
        <f>O892*$S$3</f>
        <v>1.5</v>
      </c>
      <c r="Q892" s="15">
        <f>O892*$S$4</f>
        <v>2</v>
      </c>
    </row>
    <row r="893" spans="1:17">
      <c r="A893" s="2">
        <v>54</v>
      </c>
      <c r="B893" s="4">
        <f>DAY(G893)</f>
        <v>10</v>
      </c>
      <c r="C893" s="4">
        <f>MONTH(G893)</f>
        <v>2</v>
      </c>
      <c r="D893" s="4">
        <f>YEAR(G893)</f>
        <v>2023</v>
      </c>
      <c r="E893" s="4" t="str">
        <f>TEXT(G893,"dddd")</f>
        <v>Friday</v>
      </c>
      <c r="F893" s="4" t="str">
        <f>TEXT(G893,"mmm")</f>
        <v>Feb</v>
      </c>
      <c r="G893" s="3">
        <v>44967</v>
      </c>
      <c r="H893" s="4" t="s">
        <v>926</v>
      </c>
      <c r="I893" s="4" t="s">
        <v>29</v>
      </c>
      <c r="J893" s="4" t="str" cm="1">
        <f t="array" ref="J893">_xlfn.IFS(K893&lt;30,"Young Adult",K893&lt;=50,"Adult",K893&gt;50,"Senior")</f>
        <v>Adult</v>
      </c>
      <c r="K893" s="4">
        <v>38</v>
      </c>
      <c r="L893" s="4" t="s">
        <v>9</v>
      </c>
      <c r="M893" s="4">
        <v>3</v>
      </c>
      <c r="N893" s="19">
        <v>500</v>
      </c>
      <c r="O893" s="15">
        <f>M893 * N893</f>
        <v>1500</v>
      </c>
      <c r="P893" s="15">
        <f>O893*$S$3</f>
        <v>22.5</v>
      </c>
      <c r="Q893" s="15">
        <f>O893*$S$4</f>
        <v>30</v>
      </c>
    </row>
    <row r="894" spans="1:17">
      <c r="A894" s="2">
        <v>68</v>
      </c>
      <c r="B894" s="4">
        <f>DAY(G894)</f>
        <v>10</v>
      </c>
      <c r="C894" s="4">
        <f>MONTH(G894)</f>
        <v>2</v>
      </c>
      <c r="D894" s="4">
        <f>YEAR(G894)</f>
        <v>2023</v>
      </c>
      <c r="E894" s="4" t="str">
        <f>TEXT(G894,"dddd")</f>
        <v>Friday</v>
      </c>
      <c r="F894" s="4" t="str">
        <f>TEXT(G894,"mmm")</f>
        <v>Feb</v>
      </c>
      <c r="G894" s="3">
        <v>44967</v>
      </c>
      <c r="H894" s="4" t="s">
        <v>927</v>
      </c>
      <c r="I894" s="4" t="s">
        <v>24</v>
      </c>
      <c r="J894" s="4" t="str" cm="1">
        <f t="array" ref="J894">_xlfn.IFS(K894&lt;30,"Young Adult",K894&lt;=50,"Adult",K894&gt;50,"Senior")</f>
        <v>Young Adult</v>
      </c>
      <c r="K894" s="4">
        <v>25</v>
      </c>
      <c r="L894" s="4" t="s">
        <v>9</v>
      </c>
      <c r="M894" s="4">
        <v>1</v>
      </c>
      <c r="N894" s="19">
        <v>300</v>
      </c>
      <c r="O894" s="15">
        <f>M894 * N894</f>
        <v>300</v>
      </c>
      <c r="P894" s="15">
        <f>O894*$S$3</f>
        <v>4.5</v>
      </c>
      <c r="Q894" s="15">
        <f>O894*$S$4</f>
        <v>6</v>
      </c>
    </row>
    <row r="895" spans="1:17">
      <c r="A895" s="2">
        <v>649</v>
      </c>
      <c r="B895" s="4">
        <f>DAY(G895)</f>
        <v>9</v>
      </c>
      <c r="C895" s="4">
        <f>MONTH(G895)</f>
        <v>2</v>
      </c>
      <c r="D895" s="4">
        <f>YEAR(G895)</f>
        <v>2023</v>
      </c>
      <c r="E895" s="4" t="str">
        <f>TEXT(G895,"dddd")</f>
        <v>Thursday</v>
      </c>
      <c r="F895" s="4" t="str">
        <f>TEXT(G895,"mmm")</f>
        <v>Feb</v>
      </c>
      <c r="G895" s="3">
        <v>44966</v>
      </c>
      <c r="H895" s="4" t="s">
        <v>928</v>
      </c>
      <c r="I895" s="4" t="s">
        <v>29</v>
      </c>
      <c r="J895" s="4" t="str" cm="1">
        <f t="array" ref="J895">_xlfn.IFS(K895&lt;30,"Young Adult",K895&lt;=50,"Adult",K895&gt;50,"Senior")</f>
        <v>Senior</v>
      </c>
      <c r="K895" s="4">
        <v>58</v>
      </c>
      <c r="L895" s="4" t="s">
        <v>8</v>
      </c>
      <c r="M895" s="4">
        <v>2</v>
      </c>
      <c r="N895" s="19">
        <v>300</v>
      </c>
      <c r="O895" s="15">
        <f>M895 * N895</f>
        <v>600</v>
      </c>
      <c r="P895" s="15">
        <f>O895*$S$3</f>
        <v>9</v>
      </c>
      <c r="Q895" s="15">
        <f>O895*$S$4</f>
        <v>12</v>
      </c>
    </row>
    <row r="896" spans="1:17">
      <c r="A896" s="2">
        <v>775</v>
      </c>
      <c r="B896" s="4">
        <f>DAY(G896)</f>
        <v>8</v>
      </c>
      <c r="C896" s="4">
        <f>MONTH(G896)</f>
        <v>2</v>
      </c>
      <c r="D896" s="4">
        <f>YEAR(G896)</f>
        <v>2023</v>
      </c>
      <c r="E896" s="4" t="str">
        <f>TEXT(G896,"dddd")</f>
        <v>Wednesday</v>
      </c>
      <c r="F896" s="4" t="str">
        <f>TEXT(G896,"mmm")</f>
        <v>Feb</v>
      </c>
      <c r="G896" s="3">
        <v>44965</v>
      </c>
      <c r="H896" s="4" t="s">
        <v>929</v>
      </c>
      <c r="I896" s="4" t="s">
        <v>29</v>
      </c>
      <c r="J896" s="4" t="str" cm="1">
        <f t="array" ref="J896">_xlfn.IFS(K896&lt;30,"Young Adult",K896&lt;=50,"Adult",K896&gt;50,"Senior")</f>
        <v>Adult</v>
      </c>
      <c r="K896" s="4">
        <v>46</v>
      </c>
      <c r="L896" s="4" t="s">
        <v>9</v>
      </c>
      <c r="M896" s="4">
        <v>4</v>
      </c>
      <c r="N896" s="19">
        <v>25</v>
      </c>
      <c r="O896" s="15">
        <f>M896 * N896</f>
        <v>100</v>
      </c>
      <c r="P896" s="15">
        <f>O896*$S$3</f>
        <v>1.5</v>
      </c>
      <c r="Q896" s="15">
        <f>O896*$S$4</f>
        <v>2</v>
      </c>
    </row>
    <row r="897" spans="1:17">
      <c r="A897" s="2">
        <v>284</v>
      </c>
      <c r="B897" s="4">
        <f>DAY(G897)</f>
        <v>8</v>
      </c>
      <c r="C897" s="4">
        <f>MONTH(G897)</f>
        <v>2</v>
      </c>
      <c r="D897" s="4">
        <f>YEAR(G897)</f>
        <v>2023</v>
      </c>
      <c r="E897" s="4" t="str">
        <f>TEXT(G897,"dddd")</f>
        <v>Wednesday</v>
      </c>
      <c r="F897" s="4" t="str">
        <f>TEXT(G897,"mmm")</f>
        <v>Feb</v>
      </c>
      <c r="G897" s="3">
        <v>44965</v>
      </c>
      <c r="H897" s="4" t="s">
        <v>930</v>
      </c>
      <c r="I897" s="4" t="s">
        <v>24</v>
      </c>
      <c r="J897" s="4" t="str" cm="1">
        <f t="array" ref="J897">_xlfn.IFS(K897&lt;30,"Young Adult",K897&lt;=50,"Adult",K897&gt;50,"Senior")</f>
        <v>Adult</v>
      </c>
      <c r="K897" s="4">
        <v>43</v>
      </c>
      <c r="L897" s="4" t="s">
        <v>8</v>
      </c>
      <c r="M897" s="4">
        <v>4</v>
      </c>
      <c r="N897" s="19">
        <v>50</v>
      </c>
      <c r="O897" s="15">
        <f>M897 * N897</f>
        <v>200</v>
      </c>
      <c r="P897" s="15">
        <f>O897*$S$3</f>
        <v>3</v>
      </c>
      <c r="Q897" s="15">
        <f>O897*$S$4</f>
        <v>4</v>
      </c>
    </row>
    <row r="898" spans="1:17">
      <c r="A898" s="2">
        <v>434</v>
      </c>
      <c r="B898" s="4">
        <f>DAY(G898)</f>
        <v>8</v>
      </c>
      <c r="C898" s="4">
        <f>MONTH(G898)</f>
        <v>2</v>
      </c>
      <c r="D898" s="4">
        <f>YEAR(G898)</f>
        <v>2023</v>
      </c>
      <c r="E898" s="4" t="str">
        <f>TEXT(G898,"dddd")</f>
        <v>Wednesday</v>
      </c>
      <c r="F898" s="4" t="str">
        <f>TEXT(G898,"mmm")</f>
        <v>Feb</v>
      </c>
      <c r="G898" s="3">
        <v>44965</v>
      </c>
      <c r="H898" s="4" t="s">
        <v>931</v>
      </c>
      <c r="I898" s="4" t="s">
        <v>29</v>
      </c>
      <c r="J898" s="4" t="str" cm="1">
        <f t="array" ref="J898">_xlfn.IFS(K898&lt;30,"Young Adult",K898&lt;=50,"Adult",K898&gt;50,"Senior")</f>
        <v>Adult</v>
      </c>
      <c r="K898" s="4">
        <v>43</v>
      </c>
      <c r="L898" s="4" t="s">
        <v>9</v>
      </c>
      <c r="M898" s="4">
        <v>2</v>
      </c>
      <c r="N898" s="19">
        <v>25</v>
      </c>
      <c r="O898" s="15">
        <f>M898 * N898</f>
        <v>50</v>
      </c>
      <c r="P898" s="15">
        <f>O898*$S$3</f>
        <v>0.75</v>
      </c>
      <c r="Q898" s="15">
        <f>O898*$S$4</f>
        <v>1</v>
      </c>
    </row>
    <row r="899" spans="1:17">
      <c r="A899" s="2">
        <v>977</v>
      </c>
      <c r="B899" s="4">
        <f>DAY(G899)</f>
        <v>8</v>
      </c>
      <c r="C899" s="4">
        <f>MONTH(G899)</f>
        <v>2</v>
      </c>
      <c r="D899" s="4">
        <f>YEAR(G899)</f>
        <v>2023</v>
      </c>
      <c r="E899" s="4" t="str">
        <f>TEXT(G899,"dddd")</f>
        <v>Wednesday</v>
      </c>
      <c r="F899" s="4" t="str">
        <f>TEXT(G899,"mmm")</f>
        <v>Feb</v>
      </c>
      <c r="G899" s="3">
        <v>44965</v>
      </c>
      <c r="H899" s="4" t="s">
        <v>932</v>
      </c>
      <c r="I899" s="4" t="s">
        <v>29</v>
      </c>
      <c r="J899" s="4" t="str" cm="1">
        <f t="array" ref="J899">_xlfn.IFS(K899&lt;30,"Young Adult",K899&lt;=50,"Adult",K899&gt;50,"Senior")</f>
        <v>Adult</v>
      </c>
      <c r="K899" s="4">
        <v>35</v>
      </c>
      <c r="L899" s="4" t="s">
        <v>9</v>
      </c>
      <c r="M899" s="4">
        <v>3</v>
      </c>
      <c r="N899" s="19">
        <v>25</v>
      </c>
      <c r="O899" s="15">
        <f>M899 * N899</f>
        <v>75</v>
      </c>
      <c r="P899" s="15">
        <f>O899*$S$3</f>
        <v>1.125</v>
      </c>
      <c r="Q899" s="15">
        <f>O899*$S$4</f>
        <v>1.5</v>
      </c>
    </row>
    <row r="900" spans="1:17">
      <c r="A900" s="2">
        <v>596</v>
      </c>
      <c r="B900" s="4">
        <f>DAY(G900)</f>
        <v>7</v>
      </c>
      <c r="C900" s="4">
        <f>MONTH(G900)</f>
        <v>2</v>
      </c>
      <c r="D900" s="4">
        <f>YEAR(G900)</f>
        <v>2023</v>
      </c>
      <c r="E900" s="4" t="str">
        <f>TEXT(G900,"dddd")</f>
        <v>Tuesday</v>
      </c>
      <c r="F900" s="4" t="str">
        <f>TEXT(G900,"mmm")</f>
        <v>Feb</v>
      </c>
      <c r="G900" s="3">
        <v>44964</v>
      </c>
      <c r="H900" s="4" t="s">
        <v>933</v>
      </c>
      <c r="I900" s="4" t="s">
        <v>29</v>
      </c>
      <c r="J900" s="4" t="str" cm="1">
        <f t="array" ref="J900">_xlfn.IFS(K900&lt;30,"Young Adult",K900&lt;=50,"Adult",K900&gt;50,"Senior")</f>
        <v>Senior</v>
      </c>
      <c r="K900" s="4">
        <v>64</v>
      </c>
      <c r="L900" s="4" t="s">
        <v>9</v>
      </c>
      <c r="M900" s="4">
        <v>1</v>
      </c>
      <c r="N900" s="19">
        <v>300</v>
      </c>
      <c r="O900" s="15">
        <f>M900 * N900</f>
        <v>300</v>
      </c>
      <c r="P900" s="15">
        <f>O900*$S$3</f>
        <v>4.5</v>
      </c>
      <c r="Q900" s="15">
        <f>O900*$S$4</f>
        <v>6</v>
      </c>
    </row>
    <row r="901" spans="1:17">
      <c r="A901" s="2">
        <v>366</v>
      </c>
      <c r="B901" s="4">
        <f>DAY(G901)</f>
        <v>7</v>
      </c>
      <c r="C901" s="4">
        <f>MONTH(G901)</f>
        <v>2</v>
      </c>
      <c r="D901" s="4">
        <f>YEAR(G901)</f>
        <v>2023</v>
      </c>
      <c r="E901" s="4" t="str">
        <f>TEXT(G901,"dddd")</f>
        <v>Tuesday</v>
      </c>
      <c r="F901" s="4" t="str">
        <f>TEXT(G901,"mmm")</f>
        <v>Feb</v>
      </c>
      <c r="G901" s="3">
        <v>44964</v>
      </c>
      <c r="H901" s="4" t="s">
        <v>934</v>
      </c>
      <c r="I901" s="4" t="s">
        <v>24</v>
      </c>
      <c r="J901" s="4" t="str" cm="1">
        <f t="array" ref="J901">_xlfn.IFS(K901&lt;30,"Young Adult",K901&lt;=50,"Adult",K901&gt;50,"Senior")</f>
        <v>Senior</v>
      </c>
      <c r="K901" s="4">
        <v>57</v>
      </c>
      <c r="L901" s="4" t="s">
        <v>8</v>
      </c>
      <c r="M901" s="4">
        <v>2</v>
      </c>
      <c r="N901" s="19">
        <v>50</v>
      </c>
      <c r="O901" s="15">
        <f>M901 * N901</f>
        <v>100</v>
      </c>
      <c r="P901" s="15">
        <f>O901*$S$3</f>
        <v>1.5</v>
      </c>
      <c r="Q901" s="15">
        <f>O901*$S$4</f>
        <v>2</v>
      </c>
    </row>
    <row r="902" spans="1:17">
      <c r="A902" s="2">
        <v>936</v>
      </c>
      <c r="B902" s="4">
        <f>DAY(G902)</f>
        <v>7</v>
      </c>
      <c r="C902" s="4">
        <f>MONTH(G902)</f>
        <v>2</v>
      </c>
      <c r="D902" s="4">
        <f>YEAR(G902)</f>
        <v>2023</v>
      </c>
      <c r="E902" s="4" t="str">
        <f>TEXT(G902,"dddd")</f>
        <v>Tuesday</v>
      </c>
      <c r="F902" s="4" t="str">
        <f>TEXT(G902,"mmm")</f>
        <v>Feb</v>
      </c>
      <c r="G902" s="3">
        <v>44964</v>
      </c>
      <c r="H902" s="4" t="s">
        <v>935</v>
      </c>
      <c r="I902" s="4" t="s">
        <v>24</v>
      </c>
      <c r="J902" s="4" t="str" cm="1">
        <f t="array" ref="J902">_xlfn.IFS(K902&lt;30,"Young Adult",K902&lt;=50,"Adult",K902&gt;50,"Senior")</f>
        <v>Senior</v>
      </c>
      <c r="K902" s="4">
        <v>57</v>
      </c>
      <c r="L902" s="4" t="s">
        <v>7</v>
      </c>
      <c r="M902" s="4">
        <v>4</v>
      </c>
      <c r="N902" s="19">
        <v>50</v>
      </c>
      <c r="O902" s="15">
        <f>M902 * N902</f>
        <v>200</v>
      </c>
      <c r="P902" s="15">
        <f>O902*$S$3</f>
        <v>3</v>
      </c>
      <c r="Q902" s="15">
        <f>O902*$S$4</f>
        <v>4</v>
      </c>
    </row>
    <row r="903" spans="1:17">
      <c r="A903" s="2">
        <v>372</v>
      </c>
      <c r="B903" s="4">
        <f>DAY(G903)</f>
        <v>7</v>
      </c>
      <c r="C903" s="4">
        <f>MONTH(G903)</f>
        <v>2</v>
      </c>
      <c r="D903" s="4">
        <f>YEAR(G903)</f>
        <v>2023</v>
      </c>
      <c r="E903" s="4" t="str">
        <f>TEXT(G903,"dddd")</f>
        <v>Tuesday</v>
      </c>
      <c r="F903" s="4" t="str">
        <f>TEXT(G903,"mmm")</f>
        <v>Feb</v>
      </c>
      <c r="G903" s="3">
        <v>44964</v>
      </c>
      <c r="H903" s="4" t="s">
        <v>936</v>
      </c>
      <c r="I903" s="4" t="s">
        <v>29</v>
      </c>
      <c r="J903" s="4" t="str" cm="1">
        <f t="array" ref="J903">_xlfn.IFS(K903&lt;30,"Young Adult",K903&lt;=50,"Adult",K903&gt;50,"Senior")</f>
        <v>Young Adult</v>
      </c>
      <c r="K903" s="4">
        <v>24</v>
      </c>
      <c r="L903" s="4" t="s">
        <v>7</v>
      </c>
      <c r="M903" s="4">
        <v>3</v>
      </c>
      <c r="N903" s="19">
        <v>500</v>
      </c>
      <c r="O903" s="15">
        <f>M903 * N903</f>
        <v>1500</v>
      </c>
      <c r="P903" s="15">
        <f>O903*$S$3</f>
        <v>22.5</v>
      </c>
      <c r="Q903" s="15">
        <f>O903*$S$4</f>
        <v>30</v>
      </c>
    </row>
    <row r="904" spans="1:17">
      <c r="A904" s="2">
        <v>993</v>
      </c>
      <c r="B904" s="4">
        <f>DAY(G904)</f>
        <v>6</v>
      </c>
      <c r="C904" s="4">
        <f>MONTH(G904)</f>
        <v>2</v>
      </c>
      <c r="D904" s="4">
        <f>YEAR(G904)</f>
        <v>2023</v>
      </c>
      <c r="E904" s="4" t="str">
        <f>TEXT(G904,"dddd")</f>
        <v>Monday</v>
      </c>
      <c r="F904" s="4" t="str">
        <f>TEXT(G904,"mmm")</f>
        <v>Feb</v>
      </c>
      <c r="G904" s="3">
        <v>44963</v>
      </c>
      <c r="H904" s="4" t="s">
        <v>937</v>
      </c>
      <c r="I904" s="4" t="s">
        <v>29</v>
      </c>
      <c r="J904" s="4" t="str" cm="1">
        <f t="array" ref="J904">_xlfn.IFS(K904&lt;30,"Young Adult",K904&lt;=50,"Adult",K904&gt;50,"Senior")</f>
        <v>Adult</v>
      </c>
      <c r="K904" s="4">
        <v>48</v>
      </c>
      <c r="L904" s="4" t="s">
        <v>9</v>
      </c>
      <c r="M904" s="4">
        <v>3</v>
      </c>
      <c r="N904" s="19">
        <v>50</v>
      </c>
      <c r="O904" s="15">
        <f>M904 * N904</f>
        <v>150</v>
      </c>
      <c r="P904" s="15">
        <f>O904*$S$3</f>
        <v>2.25</v>
      </c>
      <c r="Q904" s="15">
        <f>O904*$S$4</f>
        <v>3</v>
      </c>
    </row>
    <row r="905" spans="1:17">
      <c r="A905" s="2">
        <v>232</v>
      </c>
      <c r="B905" s="4">
        <f>DAY(G905)</f>
        <v>6</v>
      </c>
      <c r="C905" s="4">
        <f>MONTH(G905)</f>
        <v>2</v>
      </c>
      <c r="D905" s="4">
        <f>YEAR(G905)</f>
        <v>2023</v>
      </c>
      <c r="E905" s="4" t="str">
        <f>TEXT(G905,"dddd")</f>
        <v>Monday</v>
      </c>
      <c r="F905" s="4" t="str">
        <f>TEXT(G905,"mmm")</f>
        <v>Feb</v>
      </c>
      <c r="G905" s="3">
        <v>44963</v>
      </c>
      <c r="H905" s="4" t="s">
        <v>938</v>
      </c>
      <c r="I905" s="4" t="s">
        <v>29</v>
      </c>
      <c r="J905" s="4" t="str" cm="1">
        <f t="array" ref="J905">_xlfn.IFS(K905&lt;30,"Young Adult",K905&lt;=50,"Adult",K905&gt;50,"Senior")</f>
        <v>Adult</v>
      </c>
      <c r="K905" s="4">
        <v>43</v>
      </c>
      <c r="L905" s="4" t="s">
        <v>7</v>
      </c>
      <c r="M905" s="4">
        <v>1</v>
      </c>
      <c r="N905" s="19">
        <v>25</v>
      </c>
      <c r="O905" s="15">
        <f>M905 * N905</f>
        <v>25</v>
      </c>
      <c r="P905" s="15">
        <f>O905*$S$3</f>
        <v>0.375</v>
      </c>
      <c r="Q905" s="15">
        <f>O905*$S$4</f>
        <v>0.5</v>
      </c>
    </row>
    <row r="906" spans="1:17">
      <c r="A906" s="2">
        <v>85</v>
      </c>
      <c r="B906" s="4">
        <f>DAY(G906)</f>
        <v>6</v>
      </c>
      <c r="C906" s="4">
        <f>MONTH(G906)</f>
        <v>2</v>
      </c>
      <c r="D906" s="4">
        <f>YEAR(G906)</f>
        <v>2023</v>
      </c>
      <c r="E906" s="4" t="str">
        <f>TEXT(G906,"dddd")</f>
        <v>Monday</v>
      </c>
      <c r="F906" s="4" t="str">
        <f>TEXT(G906,"mmm")</f>
        <v>Feb</v>
      </c>
      <c r="G906" s="3">
        <v>44963</v>
      </c>
      <c r="H906" s="4" t="s">
        <v>939</v>
      </c>
      <c r="I906" s="4" t="s">
        <v>24</v>
      </c>
      <c r="J906" s="4" t="str" cm="1">
        <f t="array" ref="J906">_xlfn.IFS(K906&lt;30,"Young Adult",K906&lt;=50,"Adult",K906&gt;50,"Senior")</f>
        <v>Adult</v>
      </c>
      <c r="K906" s="4">
        <v>31</v>
      </c>
      <c r="L906" s="4" t="s">
        <v>8</v>
      </c>
      <c r="M906" s="4">
        <v>3</v>
      </c>
      <c r="N906" s="19">
        <v>50</v>
      </c>
      <c r="O906" s="15">
        <f>M906 * N906</f>
        <v>150</v>
      </c>
      <c r="P906" s="15">
        <f>O906*$S$3</f>
        <v>2.25</v>
      </c>
      <c r="Q906" s="15">
        <f>O906*$S$4</f>
        <v>3</v>
      </c>
    </row>
    <row r="907" spans="1:17">
      <c r="A907" s="2">
        <v>240</v>
      </c>
      <c r="B907" s="4">
        <f>DAY(G907)</f>
        <v>6</v>
      </c>
      <c r="C907" s="4">
        <f>MONTH(G907)</f>
        <v>2</v>
      </c>
      <c r="D907" s="4">
        <f>YEAR(G907)</f>
        <v>2023</v>
      </c>
      <c r="E907" s="4" t="str">
        <f>TEXT(G907,"dddd")</f>
        <v>Monday</v>
      </c>
      <c r="F907" s="4" t="str">
        <f>TEXT(G907,"mmm")</f>
        <v>Feb</v>
      </c>
      <c r="G907" s="3">
        <v>44963</v>
      </c>
      <c r="H907" s="4" t="s">
        <v>940</v>
      </c>
      <c r="I907" s="4" t="s">
        <v>29</v>
      </c>
      <c r="J907" s="4" t="str" cm="1">
        <f t="array" ref="J907">_xlfn.IFS(K907&lt;30,"Young Adult",K907&lt;=50,"Adult",K907&gt;50,"Senior")</f>
        <v>Young Adult</v>
      </c>
      <c r="K907" s="4">
        <v>23</v>
      </c>
      <c r="L907" s="4" t="s">
        <v>7</v>
      </c>
      <c r="M907" s="4">
        <v>1</v>
      </c>
      <c r="N907" s="19">
        <v>300</v>
      </c>
      <c r="O907" s="15">
        <f>M907 * N907</f>
        <v>300</v>
      </c>
      <c r="P907" s="15">
        <f>O907*$S$3</f>
        <v>4.5</v>
      </c>
      <c r="Q907" s="15">
        <f>O907*$S$4</f>
        <v>6</v>
      </c>
    </row>
    <row r="908" spans="1:17">
      <c r="A908" s="2">
        <v>63</v>
      </c>
      <c r="B908" s="4">
        <f>DAY(G908)</f>
        <v>5</v>
      </c>
      <c r="C908" s="4">
        <f>MONTH(G908)</f>
        <v>2</v>
      </c>
      <c r="D908" s="4">
        <f>YEAR(G908)</f>
        <v>2023</v>
      </c>
      <c r="E908" s="4" t="str">
        <f>TEXT(G908,"dddd")</f>
        <v>Sunday</v>
      </c>
      <c r="F908" s="4" t="str">
        <f>TEXT(G908,"mmm")</f>
        <v>Feb</v>
      </c>
      <c r="G908" s="3">
        <v>44962</v>
      </c>
      <c r="H908" s="4" t="s">
        <v>941</v>
      </c>
      <c r="I908" s="4" t="s">
        <v>24</v>
      </c>
      <c r="J908" s="4" t="str" cm="1">
        <f t="array" ref="J908">_xlfn.IFS(K908&lt;30,"Young Adult",K908&lt;=50,"Adult",K908&gt;50,"Senior")</f>
        <v>Senior</v>
      </c>
      <c r="K908" s="4">
        <v>57</v>
      </c>
      <c r="L908" s="4" t="s">
        <v>9</v>
      </c>
      <c r="M908" s="4">
        <v>2</v>
      </c>
      <c r="N908" s="19">
        <v>25</v>
      </c>
      <c r="O908" s="15">
        <f>M908 * N908</f>
        <v>50</v>
      </c>
      <c r="P908" s="15">
        <f>O908*$S$3</f>
        <v>0.75</v>
      </c>
      <c r="Q908" s="15">
        <f>O908*$S$4</f>
        <v>1</v>
      </c>
    </row>
    <row r="909" spans="1:17">
      <c r="A909" s="2">
        <v>333</v>
      </c>
      <c r="B909" s="4">
        <f>DAY(G909)</f>
        <v>5</v>
      </c>
      <c r="C909" s="4">
        <f>MONTH(G909)</f>
        <v>2</v>
      </c>
      <c r="D909" s="4">
        <f>YEAR(G909)</f>
        <v>2023</v>
      </c>
      <c r="E909" s="4" t="str">
        <f>TEXT(G909,"dddd")</f>
        <v>Sunday</v>
      </c>
      <c r="F909" s="4" t="str">
        <f>TEXT(G909,"mmm")</f>
        <v>Feb</v>
      </c>
      <c r="G909" s="3">
        <v>44962</v>
      </c>
      <c r="H909" s="4" t="s">
        <v>942</v>
      </c>
      <c r="I909" s="4" t="s">
        <v>29</v>
      </c>
      <c r="J909" s="4" t="str" cm="1">
        <f t="array" ref="J909">_xlfn.IFS(K909&lt;30,"Young Adult",K909&lt;=50,"Adult",K909&gt;50,"Senior")</f>
        <v>Senior</v>
      </c>
      <c r="K909" s="4">
        <v>54</v>
      </c>
      <c r="L909" s="4" t="s">
        <v>9</v>
      </c>
      <c r="M909" s="4">
        <v>4</v>
      </c>
      <c r="N909" s="19">
        <v>300</v>
      </c>
      <c r="O909" s="15">
        <f>M909 * N909</f>
        <v>1200</v>
      </c>
      <c r="P909" s="15">
        <f>O909*$S$3</f>
        <v>18</v>
      </c>
      <c r="Q909" s="15">
        <f>O909*$S$4</f>
        <v>24</v>
      </c>
    </row>
    <row r="910" spans="1:17">
      <c r="A910" s="2">
        <v>793</v>
      </c>
      <c r="B910" s="4">
        <f>DAY(G910)</f>
        <v>5</v>
      </c>
      <c r="C910" s="4">
        <f>MONTH(G910)</f>
        <v>2</v>
      </c>
      <c r="D910" s="4">
        <f>YEAR(G910)</f>
        <v>2023</v>
      </c>
      <c r="E910" s="4" t="str">
        <f>TEXT(G910,"dddd")</f>
        <v>Sunday</v>
      </c>
      <c r="F910" s="4" t="str">
        <f>TEXT(G910,"mmm")</f>
        <v>Feb</v>
      </c>
      <c r="G910" s="3">
        <v>44962</v>
      </c>
      <c r="H910" s="4" t="s">
        <v>943</v>
      </c>
      <c r="I910" s="4" t="s">
        <v>24</v>
      </c>
      <c r="J910" s="4" t="str" cm="1">
        <f t="array" ref="J910">_xlfn.IFS(K910&lt;30,"Young Adult",K910&lt;=50,"Adult",K910&gt;50,"Senior")</f>
        <v>Senior</v>
      </c>
      <c r="K910" s="4">
        <v>54</v>
      </c>
      <c r="L910" s="4" t="s">
        <v>7</v>
      </c>
      <c r="M910" s="4">
        <v>1</v>
      </c>
      <c r="N910" s="19">
        <v>30</v>
      </c>
      <c r="O910" s="15">
        <f>M910 * N910</f>
        <v>30</v>
      </c>
      <c r="P910" s="15">
        <f>O910*$S$3</f>
        <v>0.44999999999999996</v>
      </c>
      <c r="Q910" s="15">
        <f>O910*$S$4</f>
        <v>0.6</v>
      </c>
    </row>
    <row r="911" spans="1:17">
      <c r="A911" s="2">
        <v>195</v>
      </c>
      <c r="B911" s="4">
        <f>DAY(G911)</f>
        <v>5</v>
      </c>
      <c r="C911" s="4">
        <f>MONTH(G911)</f>
        <v>2</v>
      </c>
      <c r="D911" s="4">
        <f>YEAR(G911)</f>
        <v>2023</v>
      </c>
      <c r="E911" s="4" t="str">
        <f>TEXT(G911,"dddd")</f>
        <v>Sunday</v>
      </c>
      <c r="F911" s="4" t="str">
        <f>TEXT(G911,"mmm")</f>
        <v>Feb</v>
      </c>
      <c r="G911" s="3">
        <v>44962</v>
      </c>
      <c r="H911" s="4" t="s">
        <v>944</v>
      </c>
      <c r="I911" s="4" t="s">
        <v>24</v>
      </c>
      <c r="J911" s="4" t="str" cm="1">
        <f t="array" ref="J911">_xlfn.IFS(K911&lt;30,"Young Adult",K911&lt;=50,"Adult",K911&gt;50,"Senior")</f>
        <v>Senior</v>
      </c>
      <c r="K911" s="4">
        <v>52</v>
      </c>
      <c r="L911" s="4" t="s">
        <v>8</v>
      </c>
      <c r="M911" s="4">
        <v>1</v>
      </c>
      <c r="N911" s="19">
        <v>30</v>
      </c>
      <c r="O911" s="15">
        <f>M911 * N911</f>
        <v>30</v>
      </c>
      <c r="P911" s="15">
        <f>O911*$S$3</f>
        <v>0.44999999999999996</v>
      </c>
      <c r="Q911" s="15">
        <f>O911*$S$4</f>
        <v>0.6</v>
      </c>
    </row>
    <row r="912" spans="1:17">
      <c r="A912" s="2">
        <v>379</v>
      </c>
      <c r="B912" s="4">
        <f>DAY(G912)</f>
        <v>5</v>
      </c>
      <c r="C912" s="4">
        <f>MONTH(G912)</f>
        <v>2</v>
      </c>
      <c r="D912" s="4">
        <f>YEAR(G912)</f>
        <v>2023</v>
      </c>
      <c r="E912" s="4" t="str">
        <f>TEXT(G912,"dddd")</f>
        <v>Sunday</v>
      </c>
      <c r="F912" s="4" t="str">
        <f>TEXT(G912,"mmm")</f>
        <v>Feb</v>
      </c>
      <c r="G912" s="3">
        <v>44962</v>
      </c>
      <c r="H912" s="4" t="s">
        <v>945</v>
      </c>
      <c r="I912" s="4" t="s">
        <v>29</v>
      </c>
      <c r="J912" s="4" t="str" cm="1">
        <f t="array" ref="J912">_xlfn.IFS(K912&lt;30,"Young Adult",K912&lt;=50,"Adult",K912&gt;50,"Senior")</f>
        <v>Adult</v>
      </c>
      <c r="K912" s="4">
        <v>47</v>
      </c>
      <c r="L912" s="4" t="s">
        <v>8</v>
      </c>
      <c r="M912" s="4">
        <v>1</v>
      </c>
      <c r="N912" s="19">
        <v>25</v>
      </c>
      <c r="O912" s="15">
        <f>M912 * N912</f>
        <v>25</v>
      </c>
      <c r="P912" s="15">
        <f>O912*$S$3</f>
        <v>0.375</v>
      </c>
      <c r="Q912" s="15">
        <f>O912*$S$4</f>
        <v>0.5</v>
      </c>
    </row>
    <row r="913" spans="1:17">
      <c r="A913" s="2">
        <v>490</v>
      </c>
      <c r="B913" s="4">
        <f>DAY(G913)</f>
        <v>5</v>
      </c>
      <c r="C913" s="4">
        <f>MONTH(G913)</f>
        <v>2</v>
      </c>
      <c r="D913" s="4">
        <f>YEAR(G913)</f>
        <v>2023</v>
      </c>
      <c r="E913" s="4" t="str">
        <f>TEXT(G913,"dddd")</f>
        <v>Sunday</v>
      </c>
      <c r="F913" s="4" t="str">
        <f>TEXT(G913,"mmm")</f>
        <v>Feb</v>
      </c>
      <c r="G913" s="3">
        <v>44962</v>
      </c>
      <c r="H913" s="4" t="s">
        <v>946</v>
      </c>
      <c r="I913" s="4" t="s">
        <v>24</v>
      </c>
      <c r="J913" s="4" t="str" cm="1">
        <f t="array" ref="J913">_xlfn.IFS(K913&lt;30,"Young Adult",K913&lt;=50,"Adult",K913&gt;50,"Senior")</f>
        <v>Adult</v>
      </c>
      <c r="K913" s="4">
        <v>34</v>
      </c>
      <c r="L913" s="4" t="s">
        <v>8</v>
      </c>
      <c r="M913" s="4">
        <v>3</v>
      </c>
      <c r="N913" s="19">
        <v>50</v>
      </c>
      <c r="O913" s="15">
        <f>M913 * N913</f>
        <v>150</v>
      </c>
      <c r="P913" s="15">
        <f>O913*$S$3</f>
        <v>2.25</v>
      </c>
      <c r="Q913" s="15">
        <f>O913*$S$4</f>
        <v>3</v>
      </c>
    </row>
    <row r="914" spans="1:17">
      <c r="A914" s="2">
        <v>740</v>
      </c>
      <c r="B914" s="4">
        <f>DAY(G914)</f>
        <v>5</v>
      </c>
      <c r="C914" s="4">
        <f>MONTH(G914)</f>
        <v>2</v>
      </c>
      <c r="D914" s="4">
        <f>YEAR(G914)</f>
        <v>2023</v>
      </c>
      <c r="E914" s="4" t="str">
        <f>TEXT(G914,"dddd")</f>
        <v>Sunday</v>
      </c>
      <c r="F914" s="4" t="str">
        <f>TEXT(G914,"mmm")</f>
        <v>Feb</v>
      </c>
      <c r="G914" s="3">
        <v>44962</v>
      </c>
      <c r="H914" s="4" t="s">
        <v>947</v>
      </c>
      <c r="I914" s="4" t="s">
        <v>29</v>
      </c>
      <c r="J914" s="4" t="str" cm="1">
        <f t="array" ref="J914">_xlfn.IFS(K914&lt;30,"Young Adult",K914&lt;=50,"Adult",K914&gt;50,"Senior")</f>
        <v>Young Adult</v>
      </c>
      <c r="K914" s="4">
        <v>25</v>
      </c>
      <c r="L914" s="4" t="s">
        <v>7</v>
      </c>
      <c r="M914" s="4">
        <v>4</v>
      </c>
      <c r="N914" s="19">
        <v>50</v>
      </c>
      <c r="O914" s="15">
        <f>M914 * N914</f>
        <v>200</v>
      </c>
      <c r="P914" s="15">
        <f>O914*$S$3</f>
        <v>3</v>
      </c>
      <c r="Q914" s="15">
        <f>O914*$S$4</f>
        <v>4</v>
      </c>
    </row>
    <row r="915" spans="1:17">
      <c r="A915" s="2">
        <v>530</v>
      </c>
      <c r="B915" s="4">
        <f>DAY(G915)</f>
        <v>5</v>
      </c>
      <c r="C915" s="4">
        <f>MONTH(G915)</f>
        <v>2</v>
      </c>
      <c r="D915" s="4">
        <f>YEAR(G915)</f>
        <v>2023</v>
      </c>
      <c r="E915" s="4" t="str">
        <f>TEXT(G915,"dddd")</f>
        <v>Sunday</v>
      </c>
      <c r="F915" s="4" t="str">
        <f>TEXT(G915,"mmm")</f>
        <v>Feb</v>
      </c>
      <c r="G915" s="3">
        <v>44962</v>
      </c>
      <c r="H915" s="4" t="s">
        <v>948</v>
      </c>
      <c r="I915" s="4" t="s">
        <v>29</v>
      </c>
      <c r="J915" s="4" t="str" cm="1">
        <f t="array" ref="J915">_xlfn.IFS(K915&lt;30,"Young Adult",K915&lt;=50,"Adult",K915&gt;50,"Senior")</f>
        <v>Young Adult</v>
      </c>
      <c r="K915" s="4">
        <v>18</v>
      </c>
      <c r="L915" s="4" t="s">
        <v>9</v>
      </c>
      <c r="M915" s="4">
        <v>4</v>
      </c>
      <c r="N915" s="19">
        <v>30</v>
      </c>
      <c r="O915" s="15">
        <f>M915 * N915</f>
        <v>120</v>
      </c>
      <c r="P915" s="15">
        <f>O915*$S$3</f>
        <v>1.7999999999999998</v>
      </c>
      <c r="Q915" s="15">
        <f>O915*$S$4</f>
        <v>2.4</v>
      </c>
    </row>
    <row r="916" spans="1:17">
      <c r="A916" s="2">
        <v>237</v>
      </c>
      <c r="B916" s="4">
        <f>DAY(G916)</f>
        <v>4</v>
      </c>
      <c r="C916" s="4">
        <f>MONTH(G916)</f>
        <v>2</v>
      </c>
      <c r="D916" s="4">
        <f>YEAR(G916)</f>
        <v>2023</v>
      </c>
      <c r="E916" s="4" t="str">
        <f>TEXT(G916,"dddd")</f>
        <v>Saturday</v>
      </c>
      <c r="F916" s="4" t="str">
        <f>TEXT(G916,"mmm")</f>
        <v>Feb</v>
      </c>
      <c r="G916" s="3">
        <v>44961</v>
      </c>
      <c r="H916" s="4" t="s">
        <v>949</v>
      </c>
      <c r="I916" s="4" t="s">
        <v>29</v>
      </c>
      <c r="J916" s="4" t="str" cm="1">
        <f t="array" ref="J916">_xlfn.IFS(K916&lt;30,"Young Adult",K916&lt;=50,"Adult",K916&gt;50,"Senior")</f>
        <v>Adult</v>
      </c>
      <c r="K916" s="4">
        <v>50</v>
      </c>
      <c r="L916" s="4" t="s">
        <v>7</v>
      </c>
      <c r="M916" s="4">
        <v>2</v>
      </c>
      <c r="N916" s="19">
        <v>500</v>
      </c>
      <c r="O916" s="15">
        <f>M916 * N916</f>
        <v>1000</v>
      </c>
      <c r="P916" s="15">
        <f>O916*$S$3</f>
        <v>15</v>
      </c>
      <c r="Q916" s="15">
        <f>O916*$S$4</f>
        <v>20</v>
      </c>
    </row>
    <row r="917" spans="1:17">
      <c r="A917" s="2">
        <v>335</v>
      </c>
      <c r="B917" s="4">
        <f>DAY(G917)</f>
        <v>4</v>
      </c>
      <c r="C917" s="4">
        <f>MONTH(G917)</f>
        <v>2</v>
      </c>
      <c r="D917" s="4">
        <f>YEAR(G917)</f>
        <v>2023</v>
      </c>
      <c r="E917" s="4" t="str">
        <f>TEXT(G917,"dddd")</f>
        <v>Saturday</v>
      </c>
      <c r="F917" s="4" t="str">
        <f>TEXT(G917,"mmm")</f>
        <v>Feb</v>
      </c>
      <c r="G917" s="3">
        <v>44961</v>
      </c>
      <c r="H917" s="4" t="s">
        <v>950</v>
      </c>
      <c r="I917" s="4" t="s">
        <v>29</v>
      </c>
      <c r="J917" s="4" t="str" cm="1">
        <f t="array" ref="J917">_xlfn.IFS(K917&lt;30,"Young Adult",K917&lt;=50,"Adult",K917&gt;50,"Senior")</f>
        <v>Adult</v>
      </c>
      <c r="K917" s="4">
        <v>47</v>
      </c>
      <c r="L917" s="4" t="s">
        <v>7</v>
      </c>
      <c r="M917" s="4">
        <v>4</v>
      </c>
      <c r="N917" s="19">
        <v>30</v>
      </c>
      <c r="O917" s="15">
        <f>M917 * N917</f>
        <v>120</v>
      </c>
      <c r="P917" s="15">
        <f>O917*$S$3</f>
        <v>1.7999999999999998</v>
      </c>
      <c r="Q917" s="15">
        <f>O917*$S$4</f>
        <v>2.4</v>
      </c>
    </row>
    <row r="918" spans="1:17">
      <c r="A918" s="2">
        <v>933</v>
      </c>
      <c r="B918" s="4">
        <f>DAY(G918)</f>
        <v>3</v>
      </c>
      <c r="C918" s="4">
        <f>MONTH(G918)</f>
        <v>2</v>
      </c>
      <c r="D918" s="4">
        <f>YEAR(G918)</f>
        <v>2023</v>
      </c>
      <c r="E918" s="4" t="str">
        <f>TEXT(G918,"dddd")</f>
        <v>Friday</v>
      </c>
      <c r="F918" s="4" t="str">
        <f>TEXT(G918,"mmm")</f>
        <v>Feb</v>
      </c>
      <c r="G918" s="3">
        <v>44960</v>
      </c>
      <c r="H918" s="4" t="s">
        <v>951</v>
      </c>
      <c r="I918" s="4" t="s">
        <v>24</v>
      </c>
      <c r="J918" s="4" t="str" cm="1">
        <f t="array" ref="J918">_xlfn.IFS(K918&lt;30,"Young Adult",K918&lt;=50,"Adult",K918&gt;50,"Senior")</f>
        <v>Young Adult</v>
      </c>
      <c r="K918" s="4">
        <v>22</v>
      </c>
      <c r="L918" s="4" t="s">
        <v>7</v>
      </c>
      <c r="M918" s="4">
        <v>1</v>
      </c>
      <c r="N918" s="19">
        <v>30</v>
      </c>
      <c r="O918" s="15">
        <f>M918 * N918</f>
        <v>30</v>
      </c>
      <c r="P918" s="15">
        <f>O918*$S$3</f>
        <v>0.44999999999999996</v>
      </c>
      <c r="Q918" s="15">
        <f>O918*$S$4</f>
        <v>0.6</v>
      </c>
    </row>
    <row r="919" spans="1:17">
      <c r="A919" s="2">
        <v>107</v>
      </c>
      <c r="B919" s="4">
        <f>DAY(G919)</f>
        <v>3</v>
      </c>
      <c r="C919" s="4">
        <f>MONTH(G919)</f>
        <v>2</v>
      </c>
      <c r="D919" s="4">
        <f>YEAR(G919)</f>
        <v>2023</v>
      </c>
      <c r="E919" s="4" t="str">
        <f>TEXT(G919,"dddd")</f>
        <v>Friday</v>
      </c>
      <c r="F919" s="4" t="str">
        <f>TEXT(G919,"mmm")</f>
        <v>Feb</v>
      </c>
      <c r="G919" s="3">
        <v>44960</v>
      </c>
      <c r="H919" s="4" t="s">
        <v>952</v>
      </c>
      <c r="I919" s="4" t="s">
        <v>29</v>
      </c>
      <c r="J919" s="4" t="str" cm="1">
        <f t="array" ref="J919">_xlfn.IFS(K919&lt;30,"Young Adult",K919&lt;=50,"Adult",K919&gt;50,"Senior")</f>
        <v>Young Adult</v>
      </c>
      <c r="K919" s="4">
        <v>21</v>
      </c>
      <c r="L919" s="4" t="s">
        <v>8</v>
      </c>
      <c r="M919" s="4">
        <v>4</v>
      </c>
      <c r="N919" s="19">
        <v>300</v>
      </c>
      <c r="O919" s="15">
        <f>M919 * N919</f>
        <v>1200</v>
      </c>
      <c r="P919" s="15">
        <f>O919*$S$3</f>
        <v>18</v>
      </c>
      <c r="Q919" s="15">
        <f>O919*$S$4</f>
        <v>24</v>
      </c>
    </row>
    <row r="920" spans="1:17">
      <c r="A920" s="2">
        <v>223</v>
      </c>
      <c r="B920" s="4">
        <f>DAY(G920)</f>
        <v>2</v>
      </c>
      <c r="C920" s="4">
        <f>MONTH(G920)</f>
        <v>2</v>
      </c>
      <c r="D920" s="4">
        <f>YEAR(G920)</f>
        <v>2023</v>
      </c>
      <c r="E920" s="4" t="str">
        <f>TEXT(G920,"dddd")</f>
        <v>Thursday</v>
      </c>
      <c r="F920" s="4" t="str">
        <f>TEXT(G920,"mmm")</f>
        <v>Feb</v>
      </c>
      <c r="G920" s="3">
        <v>44959</v>
      </c>
      <c r="H920" s="4" t="s">
        <v>953</v>
      </c>
      <c r="I920" s="4" t="s">
        <v>29</v>
      </c>
      <c r="J920" s="4" t="str" cm="1">
        <f t="array" ref="J920">_xlfn.IFS(K920&lt;30,"Young Adult",K920&lt;=50,"Adult",K920&gt;50,"Senior")</f>
        <v>Senior</v>
      </c>
      <c r="K920" s="4">
        <v>64</v>
      </c>
      <c r="L920" s="4" t="s">
        <v>8</v>
      </c>
      <c r="M920" s="4">
        <v>1</v>
      </c>
      <c r="N920" s="19">
        <v>25</v>
      </c>
      <c r="O920" s="15">
        <f>M920 * N920</f>
        <v>25</v>
      </c>
      <c r="P920" s="15">
        <f>O920*$S$3</f>
        <v>0.375</v>
      </c>
      <c r="Q920" s="15">
        <f>O920*$S$4</f>
        <v>0.5</v>
      </c>
    </row>
    <row r="921" spans="1:17">
      <c r="A921" s="2">
        <v>666</v>
      </c>
      <c r="B921" s="4">
        <f>DAY(G921)</f>
        <v>2</v>
      </c>
      <c r="C921" s="4">
        <f>MONTH(G921)</f>
        <v>2</v>
      </c>
      <c r="D921" s="4">
        <f>YEAR(G921)</f>
        <v>2023</v>
      </c>
      <c r="E921" s="4" t="str">
        <f>TEXT(G921,"dddd")</f>
        <v>Thursday</v>
      </c>
      <c r="F921" s="4" t="str">
        <f>TEXT(G921,"mmm")</f>
        <v>Feb</v>
      </c>
      <c r="G921" s="3">
        <v>44959</v>
      </c>
      <c r="H921" s="4" t="s">
        <v>954</v>
      </c>
      <c r="I921" s="4" t="s">
        <v>24</v>
      </c>
      <c r="J921" s="4" t="str" cm="1">
        <f t="array" ref="J921">_xlfn.IFS(K921&lt;30,"Young Adult",K921&lt;=50,"Adult",K921&gt;50,"Senior")</f>
        <v>Senior</v>
      </c>
      <c r="K921" s="4">
        <v>51</v>
      </c>
      <c r="L921" s="4" t="s">
        <v>9</v>
      </c>
      <c r="M921" s="4">
        <v>3</v>
      </c>
      <c r="N921" s="19">
        <v>50</v>
      </c>
      <c r="O921" s="15">
        <f>M921 * N921</f>
        <v>150</v>
      </c>
      <c r="P921" s="15">
        <f>O921*$S$3</f>
        <v>2.25</v>
      </c>
      <c r="Q921" s="15">
        <f>O921*$S$4</f>
        <v>3</v>
      </c>
    </row>
    <row r="922" spans="1:17">
      <c r="A922" s="2">
        <v>142</v>
      </c>
      <c r="B922" s="4">
        <f>DAY(G922)</f>
        <v>2</v>
      </c>
      <c r="C922" s="4">
        <f>MONTH(G922)</f>
        <v>2</v>
      </c>
      <c r="D922" s="4">
        <f>YEAR(G922)</f>
        <v>2023</v>
      </c>
      <c r="E922" s="4" t="str">
        <f>TEXT(G922,"dddd")</f>
        <v>Thursday</v>
      </c>
      <c r="F922" s="4" t="str">
        <f>TEXT(G922,"mmm")</f>
        <v>Feb</v>
      </c>
      <c r="G922" s="3">
        <v>44959</v>
      </c>
      <c r="H922" s="4" t="s">
        <v>955</v>
      </c>
      <c r="I922" s="4" t="s">
        <v>24</v>
      </c>
      <c r="J922" s="4" t="str" cm="1">
        <f t="array" ref="J922">_xlfn.IFS(K922&lt;30,"Young Adult",K922&lt;=50,"Adult",K922&gt;50,"Senior")</f>
        <v>Adult</v>
      </c>
      <c r="K922" s="4">
        <v>35</v>
      </c>
      <c r="L922" s="4" t="s">
        <v>9</v>
      </c>
      <c r="M922" s="4">
        <v>4</v>
      </c>
      <c r="N922" s="19">
        <v>300</v>
      </c>
      <c r="O922" s="15">
        <f>M922 * N922</f>
        <v>1200</v>
      </c>
      <c r="P922" s="15">
        <f>O922*$S$3</f>
        <v>18</v>
      </c>
      <c r="Q922" s="15">
        <f>O922*$S$4</f>
        <v>24</v>
      </c>
    </row>
    <row r="923" spans="1:17">
      <c r="A923" s="2">
        <v>673</v>
      </c>
      <c r="B923" s="4">
        <f>DAY(G923)</f>
        <v>1</v>
      </c>
      <c r="C923" s="4">
        <f>MONTH(G923)</f>
        <v>2</v>
      </c>
      <c r="D923" s="4">
        <f>YEAR(G923)</f>
        <v>2023</v>
      </c>
      <c r="E923" s="4" t="str">
        <f>TEXT(G923,"dddd")</f>
        <v>Wednesday</v>
      </c>
      <c r="F923" s="4" t="str">
        <f>TEXT(G923,"mmm")</f>
        <v>Feb</v>
      </c>
      <c r="G923" s="3">
        <v>44958</v>
      </c>
      <c r="H923" s="4" t="s">
        <v>956</v>
      </c>
      <c r="I923" s="4" t="s">
        <v>29</v>
      </c>
      <c r="J923" s="4" t="str" cm="1">
        <f t="array" ref="J923">_xlfn.IFS(K923&lt;30,"Young Adult",K923&lt;=50,"Adult",K923&gt;50,"Senior")</f>
        <v>Adult</v>
      </c>
      <c r="K923" s="4">
        <v>43</v>
      </c>
      <c r="L923" s="4" t="s">
        <v>8</v>
      </c>
      <c r="M923" s="4">
        <v>3</v>
      </c>
      <c r="N923" s="19">
        <v>500</v>
      </c>
      <c r="O923" s="15">
        <f>M923 * N923</f>
        <v>1500</v>
      </c>
      <c r="P923" s="15">
        <f>O923*$S$3</f>
        <v>22.5</v>
      </c>
      <c r="Q923" s="15">
        <f>O923*$S$4</f>
        <v>30</v>
      </c>
    </row>
    <row r="924" spans="1:17">
      <c r="A924" s="2">
        <v>320</v>
      </c>
      <c r="B924" s="4">
        <f>DAY(G924)</f>
        <v>1</v>
      </c>
      <c r="C924" s="4">
        <f>MONTH(G924)</f>
        <v>2</v>
      </c>
      <c r="D924" s="4">
        <f>YEAR(G924)</f>
        <v>2023</v>
      </c>
      <c r="E924" s="4" t="str">
        <f>TEXT(G924,"dddd")</f>
        <v>Wednesday</v>
      </c>
      <c r="F924" s="4" t="str">
        <f>TEXT(G924,"mmm")</f>
        <v>Feb</v>
      </c>
      <c r="G924" s="3">
        <v>44958</v>
      </c>
      <c r="H924" s="4" t="s">
        <v>957</v>
      </c>
      <c r="I924" s="4" t="s">
        <v>29</v>
      </c>
      <c r="J924" s="4" t="str" cm="1">
        <f t="array" ref="J924">_xlfn.IFS(K924&lt;30,"Young Adult",K924&lt;=50,"Adult",K924&gt;50,"Senior")</f>
        <v>Young Adult</v>
      </c>
      <c r="K924" s="4">
        <v>28</v>
      </c>
      <c r="L924" s="4" t="s">
        <v>9</v>
      </c>
      <c r="M924" s="4">
        <v>4</v>
      </c>
      <c r="N924" s="19">
        <v>300</v>
      </c>
      <c r="O924" s="15">
        <f>M924 * N924</f>
        <v>1200</v>
      </c>
      <c r="P924" s="15">
        <f>O924*$S$3</f>
        <v>18</v>
      </c>
      <c r="Q924" s="15">
        <f>O924*$S$4</f>
        <v>24</v>
      </c>
    </row>
    <row r="925" spans="1:17">
      <c r="A925" s="2">
        <v>269</v>
      </c>
      <c r="B925" s="4">
        <f>DAY(G925)</f>
        <v>1</v>
      </c>
      <c r="C925" s="4">
        <f>MONTH(G925)</f>
        <v>2</v>
      </c>
      <c r="D925" s="4">
        <f>YEAR(G925)</f>
        <v>2023</v>
      </c>
      <c r="E925" s="4" t="str">
        <f>TEXT(G925,"dddd")</f>
        <v>Wednesday</v>
      </c>
      <c r="F925" s="4" t="str">
        <f>TEXT(G925,"mmm")</f>
        <v>Feb</v>
      </c>
      <c r="G925" s="3">
        <v>44958</v>
      </c>
      <c r="H925" s="4" t="s">
        <v>958</v>
      </c>
      <c r="I925" s="4" t="s">
        <v>24</v>
      </c>
      <c r="J925" s="4" t="str" cm="1">
        <f t="array" ref="J925">_xlfn.IFS(K925&lt;30,"Young Adult",K925&lt;=50,"Adult",K925&gt;50,"Senior")</f>
        <v>Young Adult</v>
      </c>
      <c r="K925" s="4">
        <v>25</v>
      </c>
      <c r="L925" s="4" t="s">
        <v>8</v>
      </c>
      <c r="M925" s="4">
        <v>4</v>
      </c>
      <c r="N925" s="19">
        <v>500</v>
      </c>
      <c r="O925" s="15">
        <f>M925 * N925</f>
        <v>2000</v>
      </c>
      <c r="P925" s="15">
        <f>O925*$S$3</f>
        <v>30</v>
      </c>
      <c r="Q925" s="15">
        <f>O925*$S$4</f>
        <v>40</v>
      </c>
    </row>
    <row r="926" spans="1:17">
      <c r="A926" s="2">
        <v>964</v>
      </c>
      <c r="B926" s="4">
        <f>DAY(G926)</f>
        <v>31</v>
      </c>
      <c r="C926" s="4">
        <f>MONTH(G926)</f>
        <v>1</v>
      </c>
      <c r="D926" s="4">
        <f>YEAR(G926)</f>
        <v>2023</v>
      </c>
      <c r="E926" s="4" t="str">
        <f>TEXT(G926,"dddd")</f>
        <v>Tuesday</v>
      </c>
      <c r="F926" s="4" t="str">
        <f>TEXT(G926,"mmm")</f>
        <v>Jan</v>
      </c>
      <c r="G926" s="3">
        <v>44957</v>
      </c>
      <c r="H926" s="4" t="s">
        <v>959</v>
      </c>
      <c r="I926" s="4" t="s">
        <v>24</v>
      </c>
      <c r="J926" s="4" t="str" cm="1">
        <f t="array" ref="J926">_xlfn.IFS(K926&lt;30,"Young Adult",K926&lt;=50,"Adult",K926&gt;50,"Senior")</f>
        <v>Young Adult</v>
      </c>
      <c r="K926" s="4">
        <v>24</v>
      </c>
      <c r="L926" s="4" t="s">
        <v>8</v>
      </c>
      <c r="M926" s="4">
        <v>3</v>
      </c>
      <c r="N926" s="19">
        <v>300</v>
      </c>
      <c r="O926" s="15">
        <f>M926 * N926</f>
        <v>900</v>
      </c>
      <c r="P926" s="15">
        <f>O926*$S$3</f>
        <v>13.5</v>
      </c>
      <c r="Q926" s="15">
        <f>O926*$S$4</f>
        <v>18</v>
      </c>
    </row>
    <row r="927" spans="1:17">
      <c r="A927" s="2">
        <v>235</v>
      </c>
      <c r="B927" s="4">
        <f>DAY(G927)</f>
        <v>31</v>
      </c>
      <c r="C927" s="4">
        <f>MONTH(G927)</f>
        <v>1</v>
      </c>
      <c r="D927" s="4">
        <f>YEAR(G927)</f>
        <v>2023</v>
      </c>
      <c r="E927" s="4" t="str">
        <f>TEXT(G927,"dddd")</f>
        <v>Tuesday</v>
      </c>
      <c r="F927" s="4" t="str">
        <f>TEXT(G927,"mmm")</f>
        <v>Jan</v>
      </c>
      <c r="G927" s="3">
        <v>44957</v>
      </c>
      <c r="H927" s="4" t="s">
        <v>960</v>
      </c>
      <c r="I927" s="4" t="s">
        <v>29</v>
      </c>
      <c r="J927" s="4" t="str" cm="1">
        <f t="array" ref="J927">_xlfn.IFS(K927&lt;30,"Young Adult",K927&lt;=50,"Adult",K927&gt;50,"Senior")</f>
        <v>Young Adult</v>
      </c>
      <c r="K927" s="4">
        <v>23</v>
      </c>
      <c r="L927" s="4" t="s">
        <v>9</v>
      </c>
      <c r="M927" s="4">
        <v>2</v>
      </c>
      <c r="N927" s="19">
        <v>500</v>
      </c>
      <c r="O927" s="15">
        <f>M927 * N927</f>
        <v>1000</v>
      </c>
      <c r="P927" s="15">
        <f>O927*$S$3</f>
        <v>15</v>
      </c>
      <c r="Q927" s="15">
        <f>O927*$S$4</f>
        <v>20</v>
      </c>
    </row>
    <row r="928" spans="1:17">
      <c r="A928" s="2">
        <v>300</v>
      </c>
      <c r="B928" s="4">
        <f>DAY(G928)</f>
        <v>31</v>
      </c>
      <c r="C928" s="4">
        <f>MONTH(G928)</f>
        <v>1</v>
      </c>
      <c r="D928" s="4">
        <f>YEAR(G928)</f>
        <v>2023</v>
      </c>
      <c r="E928" s="4" t="str">
        <f>TEXT(G928,"dddd")</f>
        <v>Tuesday</v>
      </c>
      <c r="F928" s="4" t="str">
        <f>TEXT(G928,"mmm")</f>
        <v>Jan</v>
      </c>
      <c r="G928" s="3">
        <v>44957</v>
      </c>
      <c r="H928" s="4" t="s">
        <v>961</v>
      </c>
      <c r="I928" s="4" t="s">
        <v>29</v>
      </c>
      <c r="J928" s="4" t="str" cm="1">
        <f t="array" ref="J928">_xlfn.IFS(K928&lt;30,"Young Adult",K928&lt;=50,"Adult",K928&gt;50,"Senior")</f>
        <v>Young Adult</v>
      </c>
      <c r="K928" s="4">
        <v>19</v>
      </c>
      <c r="L928" s="4" t="s">
        <v>9</v>
      </c>
      <c r="M928" s="4">
        <v>4</v>
      </c>
      <c r="N928" s="19">
        <v>50</v>
      </c>
      <c r="O928" s="15">
        <f>M928 * N928</f>
        <v>200</v>
      </c>
      <c r="P928" s="15">
        <f>O928*$S$3</f>
        <v>3</v>
      </c>
      <c r="Q928" s="15">
        <f>O928*$S$4</f>
        <v>4</v>
      </c>
    </row>
    <row r="929" spans="1:17">
      <c r="A929" s="2">
        <v>189</v>
      </c>
      <c r="B929" s="4">
        <f>DAY(G929)</f>
        <v>30</v>
      </c>
      <c r="C929" s="4">
        <f>MONTH(G929)</f>
        <v>1</v>
      </c>
      <c r="D929" s="4">
        <f>YEAR(G929)</f>
        <v>2023</v>
      </c>
      <c r="E929" s="4" t="str">
        <f>TEXT(G929,"dddd")</f>
        <v>Monday</v>
      </c>
      <c r="F929" s="4" t="str">
        <f>TEXT(G929,"mmm")</f>
        <v>Jan</v>
      </c>
      <c r="G929" s="3">
        <v>44956</v>
      </c>
      <c r="H929" s="4" t="s">
        <v>962</v>
      </c>
      <c r="I929" s="4" t="s">
        <v>24</v>
      </c>
      <c r="J929" s="4" t="str" cm="1">
        <f t="array" ref="J929">_xlfn.IFS(K929&lt;30,"Young Adult",K929&lt;=50,"Adult",K929&gt;50,"Senior")</f>
        <v>Senior</v>
      </c>
      <c r="K929" s="4">
        <v>63</v>
      </c>
      <c r="L929" s="4" t="s">
        <v>7</v>
      </c>
      <c r="M929" s="4">
        <v>1</v>
      </c>
      <c r="N929" s="19">
        <v>50</v>
      </c>
      <c r="O929" s="15">
        <f>M929 * N929</f>
        <v>50</v>
      </c>
      <c r="P929" s="15">
        <f>O929*$S$3</f>
        <v>0.75</v>
      </c>
      <c r="Q929" s="15">
        <f>O929*$S$4</f>
        <v>1</v>
      </c>
    </row>
    <row r="930" spans="1:17">
      <c r="A930" s="2">
        <v>322</v>
      </c>
      <c r="B930" s="4">
        <f>DAY(G930)</f>
        <v>30</v>
      </c>
      <c r="C930" s="4">
        <f>MONTH(G930)</f>
        <v>1</v>
      </c>
      <c r="D930" s="4">
        <f>YEAR(G930)</f>
        <v>2023</v>
      </c>
      <c r="E930" s="4" t="str">
        <f>TEXT(G930,"dddd")</f>
        <v>Monday</v>
      </c>
      <c r="F930" s="4" t="str">
        <f>TEXT(G930,"mmm")</f>
        <v>Jan</v>
      </c>
      <c r="G930" s="3">
        <v>44956</v>
      </c>
      <c r="H930" s="4" t="s">
        <v>963</v>
      </c>
      <c r="I930" s="4" t="s">
        <v>24</v>
      </c>
      <c r="J930" s="4" t="str" cm="1">
        <f t="array" ref="J930">_xlfn.IFS(K930&lt;30,"Young Adult",K930&lt;=50,"Adult",K930&gt;50,"Senior")</f>
        <v>Senior</v>
      </c>
      <c r="K930" s="4">
        <v>51</v>
      </c>
      <c r="L930" s="4" t="s">
        <v>9</v>
      </c>
      <c r="M930" s="4">
        <v>1</v>
      </c>
      <c r="N930" s="19">
        <v>500</v>
      </c>
      <c r="O930" s="15">
        <f>M930 * N930</f>
        <v>500</v>
      </c>
      <c r="P930" s="15">
        <f>O930*$S$3</f>
        <v>7.5</v>
      </c>
      <c r="Q930" s="15">
        <f>O930*$S$4</f>
        <v>10</v>
      </c>
    </row>
    <row r="931" spans="1:17">
      <c r="A931" s="2">
        <v>329</v>
      </c>
      <c r="B931" s="4">
        <f>DAY(G931)</f>
        <v>30</v>
      </c>
      <c r="C931" s="4">
        <f>MONTH(G931)</f>
        <v>1</v>
      </c>
      <c r="D931" s="4">
        <f>YEAR(G931)</f>
        <v>2023</v>
      </c>
      <c r="E931" s="4" t="str">
        <f>TEXT(G931,"dddd")</f>
        <v>Monday</v>
      </c>
      <c r="F931" s="4" t="str">
        <f>TEXT(G931,"mmm")</f>
        <v>Jan</v>
      </c>
      <c r="G931" s="3">
        <v>44956</v>
      </c>
      <c r="H931" s="4" t="s">
        <v>964</v>
      </c>
      <c r="I931" s="4" t="s">
        <v>29</v>
      </c>
      <c r="J931" s="4" t="str" cm="1">
        <f t="array" ref="J931">_xlfn.IFS(K931&lt;30,"Young Adult",K931&lt;=50,"Adult",K931&gt;50,"Senior")</f>
        <v>Adult</v>
      </c>
      <c r="K931" s="4">
        <v>46</v>
      </c>
      <c r="L931" s="4" t="s">
        <v>9</v>
      </c>
      <c r="M931" s="4">
        <v>4</v>
      </c>
      <c r="N931" s="19">
        <v>25</v>
      </c>
      <c r="O931" s="15">
        <f>M931 * N931</f>
        <v>100</v>
      </c>
      <c r="P931" s="15">
        <f>O931*$S$3</f>
        <v>1.5</v>
      </c>
      <c r="Q931" s="15">
        <f>O931*$S$4</f>
        <v>2</v>
      </c>
    </row>
    <row r="932" spans="1:17">
      <c r="A932" s="2">
        <v>317</v>
      </c>
      <c r="B932" s="4">
        <f>DAY(G932)</f>
        <v>30</v>
      </c>
      <c r="C932" s="4">
        <f>MONTH(G932)</f>
        <v>1</v>
      </c>
      <c r="D932" s="4">
        <f>YEAR(G932)</f>
        <v>2023</v>
      </c>
      <c r="E932" s="4" t="str">
        <f>TEXT(G932,"dddd")</f>
        <v>Monday</v>
      </c>
      <c r="F932" s="4" t="str">
        <f>TEXT(G932,"mmm")</f>
        <v>Jan</v>
      </c>
      <c r="G932" s="3">
        <v>44956</v>
      </c>
      <c r="H932" s="4" t="s">
        <v>965</v>
      </c>
      <c r="I932" s="4" t="s">
        <v>24</v>
      </c>
      <c r="J932" s="4" t="str" cm="1">
        <f t="array" ref="J932">_xlfn.IFS(K932&lt;30,"Young Adult",K932&lt;=50,"Adult",K932&gt;50,"Senior")</f>
        <v>Young Adult</v>
      </c>
      <c r="K932" s="4">
        <v>22</v>
      </c>
      <c r="L932" s="4" t="s">
        <v>9</v>
      </c>
      <c r="M932" s="4">
        <v>3</v>
      </c>
      <c r="N932" s="19">
        <v>30</v>
      </c>
      <c r="O932" s="15">
        <f>M932 * N932</f>
        <v>90</v>
      </c>
      <c r="P932" s="15">
        <f>O932*$S$3</f>
        <v>1.3499999999999999</v>
      </c>
      <c r="Q932" s="15">
        <f>O932*$S$4</f>
        <v>1.8</v>
      </c>
    </row>
    <row r="933" spans="1:17">
      <c r="A933" s="2">
        <v>101</v>
      </c>
      <c r="B933" s="4">
        <f>DAY(G933)</f>
        <v>29</v>
      </c>
      <c r="C933" s="4">
        <f>MONTH(G933)</f>
        <v>1</v>
      </c>
      <c r="D933" s="4">
        <f>YEAR(G933)</f>
        <v>2023</v>
      </c>
      <c r="E933" s="4" t="str">
        <f>TEXT(G933,"dddd")</f>
        <v>Sunday</v>
      </c>
      <c r="F933" s="4" t="str">
        <f>TEXT(G933,"mmm")</f>
        <v>Jan</v>
      </c>
      <c r="G933" s="3">
        <v>44955</v>
      </c>
      <c r="H933" s="4" t="s">
        <v>966</v>
      </c>
      <c r="I933" s="4" t="s">
        <v>24</v>
      </c>
      <c r="J933" s="4" t="str" cm="1">
        <f t="array" ref="J933">_xlfn.IFS(K933&lt;30,"Young Adult",K933&lt;=50,"Adult",K933&gt;50,"Senior")</f>
        <v>Adult</v>
      </c>
      <c r="K933" s="4">
        <v>32</v>
      </c>
      <c r="L933" s="4" t="s">
        <v>8</v>
      </c>
      <c r="M933" s="4">
        <v>2</v>
      </c>
      <c r="N933" s="19">
        <v>300</v>
      </c>
      <c r="O933" s="15">
        <f>M933 * N933</f>
        <v>600</v>
      </c>
      <c r="P933" s="15">
        <f>O933*$S$3</f>
        <v>9</v>
      </c>
      <c r="Q933" s="15">
        <f>O933*$S$4</f>
        <v>12</v>
      </c>
    </row>
    <row r="934" spans="1:17">
      <c r="A934" s="2">
        <v>264</v>
      </c>
      <c r="B934" s="4">
        <f>DAY(G934)</f>
        <v>28</v>
      </c>
      <c r="C934" s="4">
        <f>MONTH(G934)</f>
        <v>1</v>
      </c>
      <c r="D934" s="4">
        <f>YEAR(G934)</f>
        <v>2023</v>
      </c>
      <c r="E934" s="4" t="str">
        <f>TEXT(G934,"dddd")</f>
        <v>Saturday</v>
      </c>
      <c r="F934" s="4" t="str">
        <f>TEXT(G934,"mmm")</f>
        <v>Jan</v>
      </c>
      <c r="G934" s="3">
        <v>44954</v>
      </c>
      <c r="H934" s="4" t="s">
        <v>967</v>
      </c>
      <c r="I934" s="4" t="s">
        <v>24</v>
      </c>
      <c r="J934" s="4" t="str" cm="1">
        <f t="array" ref="J934">_xlfn.IFS(K934&lt;30,"Young Adult",K934&lt;=50,"Adult",K934&gt;50,"Senior")</f>
        <v>Adult</v>
      </c>
      <c r="K934" s="4">
        <v>47</v>
      </c>
      <c r="L934" s="4" t="s">
        <v>8</v>
      </c>
      <c r="M934" s="4">
        <v>3</v>
      </c>
      <c r="N934" s="19">
        <v>300</v>
      </c>
      <c r="O934" s="15">
        <f>M934 * N934</f>
        <v>900</v>
      </c>
      <c r="P934" s="15">
        <f>O934*$S$3</f>
        <v>13.5</v>
      </c>
      <c r="Q934" s="15">
        <f>O934*$S$4</f>
        <v>18</v>
      </c>
    </row>
    <row r="935" spans="1:17">
      <c r="A935" s="2">
        <v>913</v>
      </c>
      <c r="B935" s="4">
        <f>DAY(G935)</f>
        <v>28</v>
      </c>
      <c r="C935" s="4">
        <f>MONTH(G935)</f>
        <v>1</v>
      </c>
      <c r="D935" s="4">
        <f>YEAR(G935)</f>
        <v>2023</v>
      </c>
      <c r="E935" s="4" t="str">
        <f>TEXT(G935,"dddd")</f>
        <v>Saturday</v>
      </c>
      <c r="F935" s="4" t="str">
        <f>TEXT(G935,"mmm")</f>
        <v>Jan</v>
      </c>
      <c r="G935" s="3">
        <v>44954</v>
      </c>
      <c r="H935" s="4" t="s">
        <v>968</v>
      </c>
      <c r="I935" s="4" t="s">
        <v>24</v>
      </c>
      <c r="J935" s="4" t="str" cm="1">
        <f t="array" ref="J935">_xlfn.IFS(K935&lt;30,"Young Adult",K935&lt;=50,"Adult",K935&gt;50,"Senior")</f>
        <v>Young Adult</v>
      </c>
      <c r="K935" s="4">
        <v>29</v>
      </c>
      <c r="L935" s="4" t="s">
        <v>9</v>
      </c>
      <c r="M935" s="4">
        <v>3</v>
      </c>
      <c r="N935" s="19">
        <v>30</v>
      </c>
      <c r="O935" s="15">
        <f>M935 * N935</f>
        <v>90</v>
      </c>
      <c r="P935" s="15">
        <f>O935*$S$3</f>
        <v>1.3499999999999999</v>
      </c>
      <c r="Q935" s="15">
        <f>O935*$S$4</f>
        <v>1.8</v>
      </c>
    </row>
    <row r="936" spans="1:17">
      <c r="A936" s="2">
        <v>940</v>
      </c>
      <c r="B936" s="4">
        <f>DAY(G936)</f>
        <v>28</v>
      </c>
      <c r="C936" s="4">
        <f>MONTH(G936)</f>
        <v>1</v>
      </c>
      <c r="D936" s="4">
        <f>YEAR(G936)</f>
        <v>2023</v>
      </c>
      <c r="E936" s="4" t="str">
        <f>TEXT(G936,"dddd")</f>
        <v>Saturday</v>
      </c>
      <c r="F936" s="4" t="str">
        <f>TEXT(G936,"mmm")</f>
        <v>Jan</v>
      </c>
      <c r="G936" s="3">
        <v>44954</v>
      </c>
      <c r="H936" s="4" t="s">
        <v>969</v>
      </c>
      <c r="I936" s="4" t="s">
        <v>29</v>
      </c>
      <c r="J936" s="4" t="str" cm="1">
        <f t="array" ref="J936">_xlfn.IFS(K936&lt;30,"Young Adult",K936&lt;=50,"Adult",K936&gt;50,"Senior")</f>
        <v>Young Adult</v>
      </c>
      <c r="K936" s="4">
        <v>20</v>
      </c>
      <c r="L936" s="4" t="s">
        <v>9</v>
      </c>
      <c r="M936" s="4">
        <v>1</v>
      </c>
      <c r="N936" s="19">
        <v>30</v>
      </c>
      <c r="O936" s="15">
        <f>M936 * N936</f>
        <v>30</v>
      </c>
      <c r="P936" s="15">
        <f>O936*$S$3</f>
        <v>0.44999999999999996</v>
      </c>
      <c r="Q936" s="15">
        <f>O936*$S$4</f>
        <v>0.6</v>
      </c>
    </row>
    <row r="937" spans="1:17">
      <c r="A937" s="2">
        <v>415</v>
      </c>
      <c r="B937" s="4">
        <f>DAY(G937)</f>
        <v>27</v>
      </c>
      <c r="C937" s="4">
        <f>MONTH(G937)</f>
        <v>1</v>
      </c>
      <c r="D937" s="4">
        <f>YEAR(G937)</f>
        <v>2023</v>
      </c>
      <c r="E937" s="4" t="str">
        <f>TEXT(G937,"dddd")</f>
        <v>Friday</v>
      </c>
      <c r="F937" s="4" t="str">
        <f>TEXT(G937,"mmm")</f>
        <v>Jan</v>
      </c>
      <c r="G937" s="3">
        <v>44953</v>
      </c>
      <c r="H937" s="4" t="s">
        <v>970</v>
      </c>
      <c r="I937" s="4" t="s">
        <v>24</v>
      </c>
      <c r="J937" s="4" t="str" cm="1">
        <f t="array" ref="J937">_xlfn.IFS(K937&lt;30,"Young Adult",K937&lt;=50,"Adult",K937&gt;50,"Senior")</f>
        <v>Senior</v>
      </c>
      <c r="K937" s="4">
        <v>53</v>
      </c>
      <c r="L937" s="4" t="s">
        <v>8</v>
      </c>
      <c r="M937" s="4">
        <v>2</v>
      </c>
      <c r="N937" s="19">
        <v>30</v>
      </c>
      <c r="O937" s="15">
        <f>M937 * N937</f>
        <v>60</v>
      </c>
      <c r="P937" s="15">
        <f>O937*$S$3</f>
        <v>0.89999999999999991</v>
      </c>
      <c r="Q937" s="15">
        <f>O937*$S$4</f>
        <v>1.2</v>
      </c>
    </row>
    <row r="938" spans="1:17">
      <c r="A938" s="2">
        <v>736</v>
      </c>
      <c r="B938" s="4">
        <f>DAY(G938)</f>
        <v>27</v>
      </c>
      <c r="C938" s="4">
        <f>MONTH(G938)</f>
        <v>1</v>
      </c>
      <c r="D938" s="4">
        <f>YEAR(G938)</f>
        <v>2023</v>
      </c>
      <c r="E938" s="4" t="str">
        <f>TEXT(G938,"dddd")</f>
        <v>Friday</v>
      </c>
      <c r="F938" s="4" t="str">
        <f>TEXT(G938,"mmm")</f>
        <v>Jan</v>
      </c>
      <c r="G938" s="3">
        <v>44953</v>
      </c>
      <c r="H938" s="4" t="s">
        <v>971</v>
      </c>
      <c r="I938" s="4" t="s">
        <v>24</v>
      </c>
      <c r="J938" s="4" t="str" cm="1">
        <f t="array" ref="J938">_xlfn.IFS(K938&lt;30,"Young Adult",K938&lt;=50,"Adult",K938&gt;50,"Senior")</f>
        <v>Young Adult</v>
      </c>
      <c r="K938" s="4">
        <v>29</v>
      </c>
      <c r="L938" s="4" t="s">
        <v>8</v>
      </c>
      <c r="M938" s="4">
        <v>4</v>
      </c>
      <c r="N938" s="19">
        <v>25</v>
      </c>
      <c r="O938" s="15">
        <f>M938 * N938</f>
        <v>100</v>
      </c>
      <c r="P938" s="15">
        <f>O938*$S$3</f>
        <v>1.5</v>
      </c>
      <c r="Q938" s="15">
        <f>O938*$S$4</f>
        <v>2</v>
      </c>
    </row>
    <row r="939" spans="1:17">
      <c r="A939" s="2">
        <v>929</v>
      </c>
      <c r="B939" s="4">
        <f>DAY(G939)</f>
        <v>27</v>
      </c>
      <c r="C939" s="4">
        <f>MONTH(G939)</f>
        <v>1</v>
      </c>
      <c r="D939" s="4">
        <f>YEAR(G939)</f>
        <v>2023</v>
      </c>
      <c r="E939" s="4" t="str">
        <f>TEXT(G939,"dddd")</f>
        <v>Friday</v>
      </c>
      <c r="F939" s="4" t="str">
        <f>TEXT(G939,"mmm")</f>
        <v>Jan</v>
      </c>
      <c r="G939" s="3">
        <v>44953</v>
      </c>
      <c r="H939" s="4" t="s">
        <v>972</v>
      </c>
      <c r="I939" s="4" t="s">
        <v>29</v>
      </c>
      <c r="J939" s="4" t="str" cm="1">
        <f t="array" ref="J939">_xlfn.IFS(K939&lt;30,"Young Adult",K939&lt;=50,"Adult",K939&gt;50,"Senior")</f>
        <v>Young Adult</v>
      </c>
      <c r="K939" s="4">
        <v>23</v>
      </c>
      <c r="L939" s="4" t="s">
        <v>7</v>
      </c>
      <c r="M939" s="4">
        <v>3</v>
      </c>
      <c r="N939" s="19">
        <v>25</v>
      </c>
      <c r="O939" s="15">
        <f>M939 * N939</f>
        <v>75</v>
      </c>
      <c r="P939" s="15">
        <f>O939*$S$3</f>
        <v>1.125</v>
      </c>
      <c r="Q939" s="15">
        <f>O939*$S$4</f>
        <v>1.5</v>
      </c>
    </row>
    <row r="940" spans="1:17">
      <c r="A940" s="2">
        <v>720</v>
      </c>
      <c r="B940" s="4">
        <f>DAY(G940)</f>
        <v>26</v>
      </c>
      <c r="C940" s="4">
        <f>MONTH(G940)</f>
        <v>1</v>
      </c>
      <c r="D940" s="4">
        <f>YEAR(G940)</f>
        <v>2023</v>
      </c>
      <c r="E940" s="4" t="str">
        <f>TEXT(G940,"dddd")</f>
        <v>Thursday</v>
      </c>
      <c r="F940" s="4" t="str">
        <f>TEXT(G940,"mmm")</f>
        <v>Jan</v>
      </c>
      <c r="G940" s="3">
        <v>44952</v>
      </c>
      <c r="H940" s="4" t="s">
        <v>973</v>
      </c>
      <c r="I940" s="4" t="s">
        <v>29</v>
      </c>
      <c r="J940" s="4" t="str" cm="1">
        <f t="array" ref="J940">_xlfn.IFS(K940&lt;30,"Young Adult",K940&lt;=50,"Adult",K940&gt;50,"Senior")</f>
        <v>Senior</v>
      </c>
      <c r="K940" s="4">
        <v>56</v>
      </c>
      <c r="L940" s="4" t="s">
        <v>7</v>
      </c>
      <c r="M940" s="4">
        <v>3</v>
      </c>
      <c r="N940" s="19">
        <v>500</v>
      </c>
      <c r="O940" s="15">
        <f>M940 * N940</f>
        <v>1500</v>
      </c>
      <c r="P940" s="15">
        <f>O940*$S$3</f>
        <v>22.5</v>
      </c>
      <c r="Q940" s="15">
        <f>O940*$S$4</f>
        <v>30</v>
      </c>
    </row>
    <row r="941" spans="1:17">
      <c r="A941" s="2">
        <v>323</v>
      </c>
      <c r="B941" s="4">
        <f>DAY(G941)</f>
        <v>26</v>
      </c>
      <c r="C941" s="4">
        <f>MONTH(G941)</f>
        <v>1</v>
      </c>
      <c r="D941" s="4">
        <f>YEAR(G941)</f>
        <v>2023</v>
      </c>
      <c r="E941" s="4" t="str">
        <f>TEXT(G941,"dddd")</f>
        <v>Thursday</v>
      </c>
      <c r="F941" s="4" t="str">
        <f>TEXT(G941,"mmm")</f>
        <v>Jan</v>
      </c>
      <c r="G941" s="3">
        <v>44952</v>
      </c>
      <c r="H941" s="4" t="s">
        <v>974</v>
      </c>
      <c r="I941" s="4" t="s">
        <v>29</v>
      </c>
      <c r="J941" s="4" t="str" cm="1">
        <f t="array" ref="J941">_xlfn.IFS(K941&lt;30,"Young Adult",K941&lt;=50,"Adult",K941&gt;50,"Senior")</f>
        <v>Young Adult</v>
      </c>
      <c r="K941" s="4">
        <v>29</v>
      </c>
      <c r="L941" s="4" t="s">
        <v>7</v>
      </c>
      <c r="M941" s="4">
        <v>3</v>
      </c>
      <c r="N941" s="19">
        <v>300</v>
      </c>
      <c r="O941" s="15">
        <f>M941 * N941</f>
        <v>900</v>
      </c>
      <c r="P941" s="15">
        <f>O941*$S$3</f>
        <v>13.5</v>
      </c>
      <c r="Q941" s="15">
        <f>O941*$S$4</f>
        <v>18</v>
      </c>
    </row>
    <row r="942" spans="1:17">
      <c r="A942" s="2">
        <v>288</v>
      </c>
      <c r="B942" s="4">
        <f>DAY(G942)</f>
        <v>26</v>
      </c>
      <c r="C942" s="4">
        <f>MONTH(G942)</f>
        <v>1</v>
      </c>
      <c r="D942" s="4">
        <f>YEAR(G942)</f>
        <v>2023</v>
      </c>
      <c r="E942" s="4" t="str">
        <f>TEXT(G942,"dddd")</f>
        <v>Thursday</v>
      </c>
      <c r="F942" s="4" t="str">
        <f>TEXT(G942,"mmm")</f>
        <v>Jan</v>
      </c>
      <c r="G942" s="3">
        <v>44952</v>
      </c>
      <c r="H942" s="4" t="s">
        <v>975</v>
      </c>
      <c r="I942" s="4" t="s">
        <v>24</v>
      </c>
      <c r="J942" s="4" t="str" cm="1">
        <f t="array" ref="J942">_xlfn.IFS(K942&lt;30,"Young Adult",K942&lt;=50,"Adult",K942&gt;50,"Senior")</f>
        <v>Young Adult</v>
      </c>
      <c r="K942" s="4">
        <v>28</v>
      </c>
      <c r="L942" s="4" t="s">
        <v>8</v>
      </c>
      <c r="M942" s="4">
        <v>4</v>
      </c>
      <c r="N942" s="19">
        <v>30</v>
      </c>
      <c r="O942" s="15">
        <f>M942 * N942</f>
        <v>120</v>
      </c>
      <c r="P942" s="15">
        <f>O942*$S$3</f>
        <v>1.7999999999999998</v>
      </c>
      <c r="Q942" s="15">
        <f>O942*$S$4</f>
        <v>2.4</v>
      </c>
    </row>
    <row r="943" spans="1:17">
      <c r="A943" s="2">
        <v>618</v>
      </c>
      <c r="B943" s="4">
        <f>DAY(G943)</f>
        <v>26</v>
      </c>
      <c r="C943" s="4">
        <f>MONTH(G943)</f>
        <v>1</v>
      </c>
      <c r="D943" s="4">
        <f>YEAR(G943)</f>
        <v>2023</v>
      </c>
      <c r="E943" s="4" t="str">
        <f>TEXT(G943,"dddd")</f>
        <v>Thursday</v>
      </c>
      <c r="F943" s="4" t="str">
        <f>TEXT(G943,"mmm")</f>
        <v>Jan</v>
      </c>
      <c r="G943" s="3">
        <v>44952</v>
      </c>
      <c r="H943" s="4" t="s">
        <v>976</v>
      </c>
      <c r="I943" s="4" t="s">
        <v>29</v>
      </c>
      <c r="J943" s="4" t="str" cm="1">
        <f t="array" ref="J943">_xlfn.IFS(K943&lt;30,"Young Adult",K943&lt;=50,"Adult",K943&gt;50,"Senior")</f>
        <v>Young Adult</v>
      </c>
      <c r="K943" s="4">
        <v>27</v>
      </c>
      <c r="L943" s="4" t="s">
        <v>7</v>
      </c>
      <c r="M943" s="4">
        <v>1</v>
      </c>
      <c r="N943" s="19">
        <v>50</v>
      </c>
      <c r="O943" s="15">
        <f>M943 * N943</f>
        <v>50</v>
      </c>
      <c r="P943" s="15">
        <f>O943*$S$3</f>
        <v>0.75</v>
      </c>
      <c r="Q943" s="15">
        <f>O943*$S$4</f>
        <v>1</v>
      </c>
    </row>
    <row r="944" spans="1:17">
      <c r="A944" s="2">
        <v>134</v>
      </c>
      <c r="B944" s="4">
        <f>DAY(G944)</f>
        <v>25</v>
      </c>
      <c r="C944" s="4">
        <f>MONTH(G944)</f>
        <v>1</v>
      </c>
      <c r="D944" s="4">
        <f>YEAR(G944)</f>
        <v>2023</v>
      </c>
      <c r="E944" s="4" t="str">
        <f>TEXT(G944,"dddd")</f>
        <v>Wednesday</v>
      </c>
      <c r="F944" s="4" t="str">
        <f>TEXT(G944,"mmm")</f>
        <v>Jan</v>
      </c>
      <c r="G944" s="3">
        <v>44951</v>
      </c>
      <c r="H944" s="4" t="s">
        <v>977</v>
      </c>
      <c r="I944" s="4" t="s">
        <v>24</v>
      </c>
      <c r="J944" s="4" t="str" cm="1">
        <f t="array" ref="J944">_xlfn.IFS(K944&lt;30,"Young Adult",K944&lt;=50,"Adult",K944&gt;50,"Senior")</f>
        <v>Adult</v>
      </c>
      <c r="K944" s="4">
        <v>49</v>
      </c>
      <c r="L944" s="4" t="s">
        <v>9</v>
      </c>
      <c r="M944" s="4">
        <v>1</v>
      </c>
      <c r="N944" s="19">
        <v>50</v>
      </c>
      <c r="O944" s="15">
        <f>M944 * N944</f>
        <v>50</v>
      </c>
      <c r="P944" s="15">
        <f>O944*$S$3</f>
        <v>0.75</v>
      </c>
      <c r="Q944" s="15">
        <f>O944*$S$4</f>
        <v>1</v>
      </c>
    </row>
    <row r="945" spans="1:17">
      <c r="A945" s="2">
        <v>912</v>
      </c>
      <c r="B945" s="4">
        <f>DAY(G945)</f>
        <v>24</v>
      </c>
      <c r="C945" s="4">
        <f>MONTH(G945)</f>
        <v>1</v>
      </c>
      <c r="D945" s="4">
        <f>YEAR(G945)</f>
        <v>2023</v>
      </c>
      <c r="E945" s="4" t="str">
        <f>TEXT(G945,"dddd")</f>
        <v>Tuesday</v>
      </c>
      <c r="F945" s="4" t="str">
        <f>TEXT(G945,"mmm")</f>
        <v>Jan</v>
      </c>
      <c r="G945" s="3">
        <v>44950</v>
      </c>
      <c r="H945" s="4" t="s">
        <v>978</v>
      </c>
      <c r="I945" s="4" t="s">
        <v>24</v>
      </c>
      <c r="J945" s="4" t="str" cm="1">
        <f t="array" ref="J945">_xlfn.IFS(K945&lt;30,"Young Adult",K945&lt;=50,"Adult",K945&gt;50,"Senior")</f>
        <v>Senior</v>
      </c>
      <c r="K945" s="4">
        <v>51</v>
      </c>
      <c r="L945" s="4" t="s">
        <v>7</v>
      </c>
      <c r="M945" s="4">
        <v>3</v>
      </c>
      <c r="N945" s="19">
        <v>50</v>
      </c>
      <c r="O945" s="15">
        <f>M945 * N945</f>
        <v>150</v>
      </c>
      <c r="P945" s="15">
        <f>O945*$S$3</f>
        <v>2.25</v>
      </c>
      <c r="Q945" s="15">
        <f>O945*$S$4</f>
        <v>3</v>
      </c>
    </row>
    <row r="946" spans="1:17">
      <c r="A946" s="2">
        <v>64</v>
      </c>
      <c r="B946" s="4">
        <f>DAY(G946)</f>
        <v>24</v>
      </c>
      <c r="C946" s="4">
        <f>MONTH(G946)</f>
        <v>1</v>
      </c>
      <c r="D946" s="4">
        <f>YEAR(G946)</f>
        <v>2023</v>
      </c>
      <c r="E946" s="4" t="str">
        <f>TEXT(G946,"dddd")</f>
        <v>Tuesday</v>
      </c>
      <c r="F946" s="4" t="str">
        <f>TEXT(G946,"mmm")</f>
        <v>Jan</v>
      </c>
      <c r="G946" s="3">
        <v>44950</v>
      </c>
      <c r="H946" s="4" t="s">
        <v>979</v>
      </c>
      <c r="I946" s="4" t="s">
        <v>24</v>
      </c>
      <c r="J946" s="4" t="str" cm="1">
        <f t="array" ref="J946">_xlfn.IFS(K946&lt;30,"Young Adult",K946&lt;=50,"Adult",K946&gt;50,"Senior")</f>
        <v>Adult</v>
      </c>
      <c r="K946" s="4">
        <v>49</v>
      </c>
      <c r="L946" s="4" t="s">
        <v>8</v>
      </c>
      <c r="M946" s="4">
        <v>4</v>
      </c>
      <c r="N946" s="19">
        <v>25</v>
      </c>
      <c r="O946" s="15">
        <f>M946 * N946</f>
        <v>100</v>
      </c>
      <c r="P946" s="15">
        <f>O946*$S$3</f>
        <v>1.5</v>
      </c>
      <c r="Q946" s="15">
        <f>O946*$S$4</f>
        <v>2</v>
      </c>
    </row>
    <row r="947" spans="1:17">
      <c r="A947" s="2">
        <v>592</v>
      </c>
      <c r="B947" s="4">
        <f>DAY(G947)</f>
        <v>24</v>
      </c>
      <c r="C947" s="4">
        <f>MONTH(G947)</f>
        <v>1</v>
      </c>
      <c r="D947" s="4">
        <f>YEAR(G947)</f>
        <v>2023</v>
      </c>
      <c r="E947" s="4" t="str">
        <f>TEXT(G947,"dddd")</f>
        <v>Tuesday</v>
      </c>
      <c r="F947" s="4" t="str">
        <f>TEXT(G947,"mmm")</f>
        <v>Jan</v>
      </c>
      <c r="G947" s="3">
        <v>44950</v>
      </c>
      <c r="H947" s="4" t="s">
        <v>980</v>
      </c>
      <c r="I947" s="4" t="s">
        <v>29</v>
      </c>
      <c r="J947" s="4" t="str" cm="1">
        <f t="array" ref="J947">_xlfn.IFS(K947&lt;30,"Young Adult",K947&lt;=50,"Adult",K947&gt;50,"Senior")</f>
        <v>Adult</v>
      </c>
      <c r="K947" s="4">
        <v>46</v>
      </c>
      <c r="L947" s="4" t="s">
        <v>7</v>
      </c>
      <c r="M947" s="4">
        <v>4</v>
      </c>
      <c r="N947" s="19">
        <v>500</v>
      </c>
      <c r="O947" s="15">
        <f>M947 * N947</f>
        <v>2000</v>
      </c>
      <c r="P947" s="15">
        <f>O947*$S$3</f>
        <v>30</v>
      </c>
      <c r="Q947" s="15">
        <f>O947*$S$4</f>
        <v>40</v>
      </c>
    </row>
    <row r="948" spans="1:17">
      <c r="A948" s="2">
        <v>49</v>
      </c>
      <c r="B948" s="4">
        <f>DAY(G948)</f>
        <v>23</v>
      </c>
      <c r="C948" s="4">
        <f>MONTH(G948)</f>
        <v>1</v>
      </c>
      <c r="D948" s="4">
        <f>YEAR(G948)</f>
        <v>2023</v>
      </c>
      <c r="E948" s="4" t="str">
        <f>TEXT(G948,"dddd")</f>
        <v>Monday</v>
      </c>
      <c r="F948" s="4" t="str">
        <f>TEXT(G948,"mmm")</f>
        <v>Jan</v>
      </c>
      <c r="G948" s="3">
        <v>44949</v>
      </c>
      <c r="H948" s="4" t="s">
        <v>981</v>
      </c>
      <c r="I948" s="4" t="s">
        <v>29</v>
      </c>
      <c r="J948" s="4" t="str" cm="1">
        <f t="array" ref="J948">_xlfn.IFS(K948&lt;30,"Young Adult",K948&lt;=50,"Adult",K948&gt;50,"Senior")</f>
        <v>Senior</v>
      </c>
      <c r="K948" s="4">
        <v>54</v>
      </c>
      <c r="L948" s="4" t="s">
        <v>9</v>
      </c>
      <c r="M948" s="4">
        <v>2</v>
      </c>
      <c r="N948" s="19">
        <v>500</v>
      </c>
      <c r="O948" s="15">
        <f>M948 * N948</f>
        <v>1000</v>
      </c>
      <c r="P948" s="15">
        <f>O948*$S$3</f>
        <v>15</v>
      </c>
      <c r="Q948" s="15">
        <f>O948*$S$4</f>
        <v>20</v>
      </c>
    </row>
    <row r="949" spans="1:17">
      <c r="A949" s="2">
        <v>519</v>
      </c>
      <c r="B949" s="4">
        <f>DAY(G949)</f>
        <v>23</v>
      </c>
      <c r="C949" s="4">
        <f>MONTH(G949)</f>
        <v>1</v>
      </c>
      <c r="D949" s="4">
        <f>YEAR(G949)</f>
        <v>2023</v>
      </c>
      <c r="E949" s="4" t="str">
        <f>TEXT(G949,"dddd")</f>
        <v>Monday</v>
      </c>
      <c r="F949" s="4" t="str">
        <f>TEXT(G949,"mmm")</f>
        <v>Jan</v>
      </c>
      <c r="G949" s="3">
        <v>44949</v>
      </c>
      <c r="H949" s="4" t="s">
        <v>982</v>
      </c>
      <c r="I949" s="4" t="s">
        <v>29</v>
      </c>
      <c r="J949" s="4" t="str" cm="1">
        <f t="array" ref="J949">_xlfn.IFS(K949&lt;30,"Young Adult",K949&lt;=50,"Adult",K949&gt;50,"Senior")</f>
        <v>Adult</v>
      </c>
      <c r="K949" s="4">
        <v>36</v>
      </c>
      <c r="L949" s="4" t="s">
        <v>9</v>
      </c>
      <c r="M949" s="4">
        <v>4</v>
      </c>
      <c r="N949" s="19">
        <v>30</v>
      </c>
      <c r="O949" s="15">
        <f>M949 * N949</f>
        <v>120</v>
      </c>
      <c r="P949" s="15">
        <f>O949*$S$3</f>
        <v>1.7999999999999998</v>
      </c>
      <c r="Q949" s="15">
        <f>O949*$S$4</f>
        <v>2.4</v>
      </c>
    </row>
    <row r="950" spans="1:17">
      <c r="A950" s="2">
        <v>420</v>
      </c>
      <c r="B950" s="4">
        <f>DAY(G950)</f>
        <v>23</v>
      </c>
      <c r="C950" s="4">
        <f>MONTH(G950)</f>
        <v>1</v>
      </c>
      <c r="D950" s="4">
        <f>YEAR(G950)</f>
        <v>2023</v>
      </c>
      <c r="E950" s="4" t="str">
        <f>TEXT(G950,"dddd")</f>
        <v>Monday</v>
      </c>
      <c r="F950" s="4" t="str">
        <f>TEXT(G950,"mmm")</f>
        <v>Jan</v>
      </c>
      <c r="G950" s="3">
        <v>44949</v>
      </c>
      <c r="H950" s="4" t="s">
        <v>983</v>
      </c>
      <c r="I950" s="4" t="s">
        <v>29</v>
      </c>
      <c r="J950" s="4" t="str" cm="1">
        <f t="array" ref="J950">_xlfn.IFS(K950&lt;30,"Young Adult",K950&lt;=50,"Adult",K950&gt;50,"Senior")</f>
        <v>Young Adult</v>
      </c>
      <c r="K950" s="4">
        <v>22</v>
      </c>
      <c r="L950" s="4" t="s">
        <v>8</v>
      </c>
      <c r="M950" s="4">
        <v>4</v>
      </c>
      <c r="N950" s="19">
        <v>500</v>
      </c>
      <c r="O950" s="15">
        <f>M950 * N950</f>
        <v>2000</v>
      </c>
      <c r="P950" s="15">
        <f>O950*$S$3</f>
        <v>30</v>
      </c>
      <c r="Q950" s="15">
        <f>O950*$S$4</f>
        <v>40</v>
      </c>
    </row>
    <row r="951" spans="1:17">
      <c r="A951" s="2">
        <v>445</v>
      </c>
      <c r="B951" s="4">
        <f>DAY(G951)</f>
        <v>22</v>
      </c>
      <c r="C951" s="4">
        <f>MONTH(G951)</f>
        <v>1</v>
      </c>
      <c r="D951" s="4">
        <f>YEAR(G951)</f>
        <v>2023</v>
      </c>
      <c r="E951" s="4" t="str">
        <f>TEXT(G951,"dddd")</f>
        <v>Sunday</v>
      </c>
      <c r="F951" s="4" t="str">
        <f>TEXT(G951,"mmm")</f>
        <v>Jan</v>
      </c>
      <c r="G951" s="3">
        <v>44948</v>
      </c>
      <c r="H951" s="4" t="s">
        <v>984</v>
      </c>
      <c r="I951" s="4" t="s">
        <v>29</v>
      </c>
      <c r="J951" s="4" t="str" cm="1">
        <f t="array" ref="J951">_xlfn.IFS(K951&lt;30,"Young Adult",K951&lt;=50,"Adult",K951&gt;50,"Senior")</f>
        <v>Senior</v>
      </c>
      <c r="K951" s="4">
        <v>53</v>
      </c>
      <c r="L951" s="4" t="s">
        <v>9</v>
      </c>
      <c r="M951" s="4">
        <v>1</v>
      </c>
      <c r="N951" s="19">
        <v>300</v>
      </c>
      <c r="O951" s="15">
        <f>M951 * N951</f>
        <v>300</v>
      </c>
      <c r="P951" s="15">
        <f>O951*$S$3</f>
        <v>4.5</v>
      </c>
      <c r="Q951" s="15">
        <f>O951*$S$4</f>
        <v>6</v>
      </c>
    </row>
    <row r="952" spans="1:17">
      <c r="A952" s="2">
        <v>787</v>
      </c>
      <c r="B952" s="4">
        <f>DAY(G952)</f>
        <v>22</v>
      </c>
      <c r="C952" s="4">
        <f>MONTH(G952)</f>
        <v>1</v>
      </c>
      <c r="D952" s="4">
        <f>YEAR(G952)</f>
        <v>2023</v>
      </c>
      <c r="E952" s="4" t="str">
        <f>TEXT(G952,"dddd")</f>
        <v>Sunday</v>
      </c>
      <c r="F952" s="4" t="str">
        <f>TEXT(G952,"mmm")</f>
        <v>Jan</v>
      </c>
      <c r="G952" s="3">
        <v>44948</v>
      </c>
      <c r="H952" s="4" t="s">
        <v>985</v>
      </c>
      <c r="I952" s="4" t="s">
        <v>24</v>
      </c>
      <c r="J952" s="4" t="str" cm="1">
        <f t="array" ref="J952">_xlfn.IFS(K952&lt;30,"Young Adult",K952&lt;=50,"Adult",K952&gt;50,"Senior")</f>
        <v>Adult</v>
      </c>
      <c r="K952" s="4">
        <v>41</v>
      </c>
      <c r="L952" s="4" t="s">
        <v>9</v>
      </c>
      <c r="M952" s="4">
        <v>1</v>
      </c>
      <c r="N952" s="19">
        <v>25</v>
      </c>
      <c r="O952" s="15">
        <f>M952 * N952</f>
        <v>25</v>
      </c>
      <c r="P952" s="15">
        <f>O952*$S$3</f>
        <v>0.375</v>
      </c>
      <c r="Q952" s="15">
        <f>O952*$S$4</f>
        <v>0.5</v>
      </c>
    </row>
    <row r="953" spans="1:17">
      <c r="A953" s="2">
        <v>448</v>
      </c>
      <c r="B953" s="4">
        <f>DAY(G953)</f>
        <v>21</v>
      </c>
      <c r="C953" s="4">
        <f>MONTH(G953)</f>
        <v>1</v>
      </c>
      <c r="D953" s="4">
        <f>YEAR(G953)</f>
        <v>2023</v>
      </c>
      <c r="E953" s="4" t="str">
        <f>TEXT(G953,"dddd")</f>
        <v>Saturday</v>
      </c>
      <c r="F953" s="4" t="str">
        <f>TEXT(G953,"mmm")</f>
        <v>Jan</v>
      </c>
      <c r="G953" s="3">
        <v>44947</v>
      </c>
      <c r="H953" s="4" t="s">
        <v>986</v>
      </c>
      <c r="I953" s="4" t="s">
        <v>29</v>
      </c>
      <c r="J953" s="4" t="str" cm="1">
        <f t="array" ref="J953">_xlfn.IFS(K953&lt;30,"Young Adult",K953&lt;=50,"Adult",K953&gt;50,"Senior")</f>
        <v>Senior</v>
      </c>
      <c r="K953" s="4">
        <v>54</v>
      </c>
      <c r="L953" s="4" t="s">
        <v>7</v>
      </c>
      <c r="M953" s="4">
        <v>2</v>
      </c>
      <c r="N953" s="19">
        <v>30</v>
      </c>
      <c r="O953" s="15">
        <f>M953 * N953</f>
        <v>60</v>
      </c>
      <c r="P953" s="15">
        <f>O953*$S$3</f>
        <v>0.89999999999999991</v>
      </c>
      <c r="Q953" s="15">
        <f>O953*$S$4</f>
        <v>1.2</v>
      </c>
    </row>
    <row r="954" spans="1:17">
      <c r="A954" s="2">
        <v>344</v>
      </c>
      <c r="B954" s="4">
        <f>DAY(G954)</f>
        <v>21</v>
      </c>
      <c r="C954" s="4">
        <f>MONTH(G954)</f>
        <v>1</v>
      </c>
      <c r="D954" s="4">
        <f>YEAR(G954)</f>
        <v>2023</v>
      </c>
      <c r="E954" s="4" t="str">
        <f>TEXT(G954,"dddd")</f>
        <v>Saturday</v>
      </c>
      <c r="F954" s="4" t="str">
        <f>TEXT(G954,"mmm")</f>
        <v>Jan</v>
      </c>
      <c r="G954" s="3">
        <v>44947</v>
      </c>
      <c r="H954" s="4" t="s">
        <v>987</v>
      </c>
      <c r="I954" s="4" t="s">
        <v>29</v>
      </c>
      <c r="J954" s="4" t="str" cm="1">
        <f t="array" ref="J954">_xlfn.IFS(K954&lt;30,"Young Adult",K954&lt;=50,"Adult",K954&gt;50,"Senior")</f>
        <v>Adult</v>
      </c>
      <c r="K954" s="4">
        <v>42</v>
      </c>
      <c r="L954" s="4" t="s">
        <v>7</v>
      </c>
      <c r="M954" s="4">
        <v>1</v>
      </c>
      <c r="N954" s="19">
        <v>30</v>
      </c>
      <c r="O954" s="15">
        <f>M954 * N954</f>
        <v>30</v>
      </c>
      <c r="P954" s="15">
        <f>O954*$S$3</f>
        <v>0.44999999999999996</v>
      </c>
      <c r="Q954" s="15">
        <f>O954*$S$4</f>
        <v>0.6</v>
      </c>
    </row>
    <row r="955" spans="1:17">
      <c r="A955" s="2">
        <v>742</v>
      </c>
      <c r="B955" s="4">
        <f>DAY(G955)</f>
        <v>21</v>
      </c>
      <c r="C955" s="4">
        <f>MONTH(G955)</f>
        <v>1</v>
      </c>
      <c r="D955" s="4">
        <f>YEAR(G955)</f>
        <v>2023</v>
      </c>
      <c r="E955" s="4" t="str">
        <f>TEXT(G955,"dddd")</f>
        <v>Saturday</v>
      </c>
      <c r="F955" s="4" t="str">
        <f>TEXT(G955,"mmm")</f>
        <v>Jan</v>
      </c>
      <c r="G955" s="3">
        <v>44947</v>
      </c>
      <c r="H955" s="4" t="s">
        <v>988</v>
      </c>
      <c r="I955" s="4" t="s">
        <v>29</v>
      </c>
      <c r="J955" s="4" t="str" cm="1">
        <f t="array" ref="J955">_xlfn.IFS(K955&lt;30,"Young Adult",K955&lt;=50,"Adult",K955&gt;50,"Senior")</f>
        <v>Adult</v>
      </c>
      <c r="K955" s="4">
        <v>38</v>
      </c>
      <c r="L955" s="4" t="s">
        <v>9</v>
      </c>
      <c r="M955" s="4">
        <v>4</v>
      </c>
      <c r="N955" s="19">
        <v>500</v>
      </c>
      <c r="O955" s="15">
        <f>M955 * N955</f>
        <v>2000</v>
      </c>
      <c r="P955" s="15">
        <f>O955*$S$3</f>
        <v>30</v>
      </c>
      <c r="Q955" s="15">
        <f>O955*$S$4</f>
        <v>40</v>
      </c>
    </row>
    <row r="956" spans="1:17">
      <c r="A956" s="2">
        <v>475</v>
      </c>
      <c r="B956" s="4">
        <f>DAY(G956)</f>
        <v>20</v>
      </c>
      <c r="C956" s="4">
        <f>MONTH(G956)</f>
        <v>1</v>
      </c>
      <c r="D956" s="4">
        <f>YEAR(G956)</f>
        <v>2023</v>
      </c>
      <c r="E956" s="4" t="str">
        <f>TEXT(G956,"dddd")</f>
        <v>Friday</v>
      </c>
      <c r="F956" s="4" t="str">
        <f>TEXT(G956,"mmm")</f>
        <v>Jan</v>
      </c>
      <c r="G956" s="3">
        <v>44946</v>
      </c>
      <c r="H956" s="4" t="s">
        <v>989</v>
      </c>
      <c r="I956" s="4" t="s">
        <v>24</v>
      </c>
      <c r="J956" s="4" t="str" cm="1">
        <f t="array" ref="J956">_xlfn.IFS(K956&lt;30,"Young Adult",K956&lt;=50,"Adult",K956&gt;50,"Senior")</f>
        <v>Young Adult</v>
      </c>
      <c r="K956" s="4">
        <v>26</v>
      </c>
      <c r="L956" s="4" t="s">
        <v>8</v>
      </c>
      <c r="M956" s="4">
        <v>3</v>
      </c>
      <c r="N956" s="19">
        <v>25</v>
      </c>
      <c r="O956" s="15">
        <f>M956 * N956</f>
        <v>75</v>
      </c>
      <c r="P956" s="15">
        <f>O956*$S$3</f>
        <v>1.125</v>
      </c>
      <c r="Q956" s="15">
        <f>O956*$S$4</f>
        <v>1.5</v>
      </c>
    </row>
    <row r="957" spans="1:17">
      <c r="A957" s="2">
        <v>505</v>
      </c>
      <c r="B957" s="4">
        <f>DAY(G957)</f>
        <v>20</v>
      </c>
      <c r="C957" s="4">
        <f>MONTH(G957)</f>
        <v>1</v>
      </c>
      <c r="D957" s="4">
        <f>YEAR(G957)</f>
        <v>2023</v>
      </c>
      <c r="E957" s="4" t="str">
        <f>TEXT(G957,"dddd")</f>
        <v>Friday</v>
      </c>
      <c r="F957" s="4" t="str">
        <f>TEXT(G957,"mmm")</f>
        <v>Jan</v>
      </c>
      <c r="G957" s="3">
        <v>44946</v>
      </c>
      <c r="H957" s="4" t="s">
        <v>990</v>
      </c>
      <c r="I957" s="4" t="s">
        <v>24</v>
      </c>
      <c r="J957" s="4" t="str" cm="1">
        <f t="array" ref="J957">_xlfn.IFS(K957&lt;30,"Young Adult",K957&lt;=50,"Adult",K957&gt;50,"Senior")</f>
        <v>Young Adult</v>
      </c>
      <c r="K957" s="4">
        <v>24</v>
      </c>
      <c r="L957" s="4" t="s">
        <v>7</v>
      </c>
      <c r="M957" s="4">
        <v>1</v>
      </c>
      <c r="N957" s="19">
        <v>50</v>
      </c>
      <c r="O957" s="15">
        <f>M957 * N957</f>
        <v>50</v>
      </c>
      <c r="P957" s="15">
        <f>O957*$S$3</f>
        <v>0.75</v>
      </c>
      <c r="Q957" s="15">
        <f>O957*$S$4</f>
        <v>1</v>
      </c>
    </row>
    <row r="958" spans="1:17">
      <c r="A958" s="2">
        <v>438</v>
      </c>
      <c r="B958" s="4">
        <f>DAY(G958)</f>
        <v>19</v>
      </c>
      <c r="C958" s="4">
        <f>MONTH(G958)</f>
        <v>1</v>
      </c>
      <c r="D958" s="4">
        <f>YEAR(G958)</f>
        <v>2023</v>
      </c>
      <c r="E958" s="4" t="str">
        <f>TEXT(G958,"dddd")</f>
        <v>Thursday</v>
      </c>
      <c r="F958" s="4" t="str">
        <f>TEXT(G958,"mmm")</f>
        <v>Jan</v>
      </c>
      <c r="G958" s="3">
        <v>44945</v>
      </c>
      <c r="H958" s="4" t="s">
        <v>991</v>
      </c>
      <c r="I958" s="4" t="s">
        <v>29</v>
      </c>
      <c r="J958" s="4" t="str" cm="1">
        <f t="array" ref="J958">_xlfn.IFS(K958&lt;30,"Young Adult",K958&lt;=50,"Adult",K958&gt;50,"Senior")</f>
        <v>Adult</v>
      </c>
      <c r="K958" s="4">
        <v>42</v>
      </c>
      <c r="L958" s="4" t="s">
        <v>8</v>
      </c>
      <c r="M958" s="4">
        <v>1</v>
      </c>
      <c r="N958" s="19">
        <v>30</v>
      </c>
      <c r="O958" s="15">
        <f>M958 * N958</f>
        <v>30</v>
      </c>
      <c r="P958" s="15">
        <f>O958*$S$3</f>
        <v>0.44999999999999996</v>
      </c>
      <c r="Q958" s="15">
        <f>O958*$S$4</f>
        <v>0.6</v>
      </c>
    </row>
    <row r="959" spans="1:17">
      <c r="A959" s="2">
        <v>14</v>
      </c>
      <c r="B959" s="4">
        <f>DAY(G959)</f>
        <v>17</v>
      </c>
      <c r="C959" s="4">
        <f>MONTH(G959)</f>
        <v>1</v>
      </c>
      <c r="D959" s="4">
        <f>YEAR(G959)</f>
        <v>2023</v>
      </c>
      <c r="E959" s="4" t="str">
        <f>TEXT(G959,"dddd")</f>
        <v>Tuesday</v>
      </c>
      <c r="F959" s="4" t="str">
        <f>TEXT(G959,"mmm")</f>
        <v>Jan</v>
      </c>
      <c r="G959" s="3">
        <v>44943</v>
      </c>
      <c r="H959" s="4" t="s">
        <v>992</v>
      </c>
      <c r="I959" s="4" t="s">
        <v>24</v>
      </c>
      <c r="J959" s="4" t="str" cm="1">
        <f t="array" ref="J959">_xlfn.IFS(K959&lt;30,"Young Adult",K959&lt;=50,"Adult",K959&gt;50,"Senior")</f>
        <v>Senior</v>
      </c>
      <c r="K959" s="4">
        <v>64</v>
      </c>
      <c r="L959" s="4" t="s">
        <v>8</v>
      </c>
      <c r="M959" s="4">
        <v>4</v>
      </c>
      <c r="N959" s="19">
        <v>30</v>
      </c>
      <c r="O959" s="15">
        <f>M959 * N959</f>
        <v>120</v>
      </c>
      <c r="P959" s="15">
        <f>O959*$S$3</f>
        <v>1.7999999999999998</v>
      </c>
      <c r="Q959" s="15">
        <f>O959*$S$4</f>
        <v>2.4</v>
      </c>
    </row>
    <row r="960" spans="1:17">
      <c r="A960" s="2">
        <v>103</v>
      </c>
      <c r="B960" s="4">
        <f>DAY(G960)</f>
        <v>17</v>
      </c>
      <c r="C960" s="4">
        <f>MONTH(G960)</f>
        <v>1</v>
      </c>
      <c r="D960" s="4">
        <f>YEAR(G960)</f>
        <v>2023</v>
      </c>
      <c r="E960" s="4" t="str">
        <f>TEXT(G960,"dddd")</f>
        <v>Tuesday</v>
      </c>
      <c r="F960" s="4" t="str">
        <f>TEXT(G960,"mmm")</f>
        <v>Jan</v>
      </c>
      <c r="G960" s="3">
        <v>44943</v>
      </c>
      <c r="H960" s="4" t="s">
        <v>993</v>
      </c>
      <c r="I960" s="4" t="s">
        <v>29</v>
      </c>
      <c r="J960" s="4" t="str" cm="1">
        <f t="array" ref="J960">_xlfn.IFS(K960&lt;30,"Young Adult",K960&lt;=50,"Adult",K960&gt;50,"Senior")</f>
        <v>Senior</v>
      </c>
      <c r="K960" s="4">
        <v>59</v>
      </c>
      <c r="L960" s="4" t="s">
        <v>8</v>
      </c>
      <c r="M960" s="4">
        <v>1</v>
      </c>
      <c r="N960" s="19">
        <v>25</v>
      </c>
      <c r="O960" s="15">
        <f>M960 * N960</f>
        <v>25</v>
      </c>
      <c r="P960" s="15">
        <f>O960*$S$3</f>
        <v>0.375</v>
      </c>
      <c r="Q960" s="15">
        <f>O960*$S$4</f>
        <v>0.5</v>
      </c>
    </row>
    <row r="961" spans="1:17">
      <c r="A961" s="2">
        <v>986</v>
      </c>
      <c r="B961" s="4">
        <f>DAY(G961)</f>
        <v>17</v>
      </c>
      <c r="C961" s="4">
        <f>MONTH(G961)</f>
        <v>1</v>
      </c>
      <c r="D961" s="4">
        <f>YEAR(G961)</f>
        <v>2023</v>
      </c>
      <c r="E961" s="4" t="str">
        <f>TEXT(G961,"dddd")</f>
        <v>Tuesday</v>
      </c>
      <c r="F961" s="4" t="str">
        <f>TEXT(G961,"mmm")</f>
        <v>Jan</v>
      </c>
      <c r="G961" s="3">
        <v>44943</v>
      </c>
      <c r="H961" s="4" t="s">
        <v>994</v>
      </c>
      <c r="I961" s="4" t="s">
        <v>29</v>
      </c>
      <c r="J961" s="4" t="str" cm="1">
        <f t="array" ref="J961">_xlfn.IFS(K961&lt;30,"Young Adult",K961&lt;=50,"Adult",K961&gt;50,"Senior")</f>
        <v>Adult</v>
      </c>
      <c r="K961" s="4">
        <v>49</v>
      </c>
      <c r="L961" s="4" t="s">
        <v>8</v>
      </c>
      <c r="M961" s="4">
        <v>2</v>
      </c>
      <c r="N961" s="19">
        <v>500</v>
      </c>
      <c r="O961" s="15">
        <f>M961 * N961</f>
        <v>1000</v>
      </c>
      <c r="P961" s="15">
        <f>O961*$S$3</f>
        <v>15</v>
      </c>
      <c r="Q961" s="15">
        <f>O961*$S$4</f>
        <v>20</v>
      </c>
    </row>
    <row r="962" spans="1:17">
      <c r="A962" s="2">
        <v>238</v>
      </c>
      <c r="B962" s="4">
        <f>DAY(G962)</f>
        <v>17</v>
      </c>
      <c r="C962" s="4">
        <f>MONTH(G962)</f>
        <v>1</v>
      </c>
      <c r="D962" s="4">
        <f>YEAR(G962)</f>
        <v>2023</v>
      </c>
      <c r="E962" s="4" t="str">
        <f>TEXT(G962,"dddd")</f>
        <v>Tuesday</v>
      </c>
      <c r="F962" s="4" t="str">
        <f>TEXT(G962,"mmm")</f>
        <v>Jan</v>
      </c>
      <c r="G962" s="3">
        <v>44943</v>
      </c>
      <c r="H962" s="4" t="s">
        <v>995</v>
      </c>
      <c r="I962" s="4" t="s">
        <v>29</v>
      </c>
      <c r="J962" s="4" t="str" cm="1">
        <f t="array" ref="J962">_xlfn.IFS(K962&lt;30,"Young Adult",K962&lt;=50,"Adult",K962&gt;50,"Senior")</f>
        <v>Adult</v>
      </c>
      <c r="K962" s="4">
        <v>39</v>
      </c>
      <c r="L962" s="4" t="s">
        <v>7</v>
      </c>
      <c r="M962" s="4">
        <v>1</v>
      </c>
      <c r="N962" s="19">
        <v>500</v>
      </c>
      <c r="O962" s="15">
        <f>M962 * N962</f>
        <v>500</v>
      </c>
      <c r="P962" s="15">
        <f>O962*$S$3</f>
        <v>7.5</v>
      </c>
      <c r="Q962" s="15">
        <f>O962*$S$4</f>
        <v>10</v>
      </c>
    </row>
    <row r="963" spans="1:17">
      <c r="A963" s="2">
        <v>15</v>
      </c>
      <c r="B963" s="4">
        <f>DAY(G963)</f>
        <v>16</v>
      </c>
      <c r="C963" s="4">
        <f>MONTH(G963)</f>
        <v>1</v>
      </c>
      <c r="D963" s="4">
        <f>YEAR(G963)</f>
        <v>2023</v>
      </c>
      <c r="E963" s="4" t="str">
        <f>TEXT(G963,"dddd")</f>
        <v>Monday</v>
      </c>
      <c r="F963" s="4" t="str">
        <f>TEXT(G963,"mmm")</f>
        <v>Jan</v>
      </c>
      <c r="G963" s="3">
        <v>44942</v>
      </c>
      <c r="H963" s="4" t="s">
        <v>996</v>
      </c>
      <c r="I963" s="4" t="s">
        <v>29</v>
      </c>
      <c r="J963" s="4" t="str" cm="1">
        <f t="array" ref="J963">_xlfn.IFS(K963&lt;30,"Young Adult",K963&lt;=50,"Adult",K963&gt;50,"Senior")</f>
        <v>Adult</v>
      </c>
      <c r="K963" s="4">
        <v>42</v>
      </c>
      <c r="L963" s="4" t="s">
        <v>9</v>
      </c>
      <c r="M963" s="4">
        <v>4</v>
      </c>
      <c r="N963" s="19">
        <v>500</v>
      </c>
      <c r="O963" s="15">
        <f>M963 * N963</f>
        <v>2000</v>
      </c>
      <c r="P963" s="15">
        <f>O963*$S$3</f>
        <v>30</v>
      </c>
      <c r="Q963" s="15">
        <f>O963*$S$4</f>
        <v>40</v>
      </c>
    </row>
    <row r="964" spans="1:17">
      <c r="A964" s="2">
        <v>743</v>
      </c>
      <c r="B964" s="4">
        <f>DAY(G964)</f>
        <v>16</v>
      </c>
      <c r="C964" s="4">
        <f>MONTH(G964)</f>
        <v>1</v>
      </c>
      <c r="D964" s="4">
        <f>YEAR(G964)</f>
        <v>2023</v>
      </c>
      <c r="E964" s="4" t="str">
        <f>TEXT(G964,"dddd")</f>
        <v>Monday</v>
      </c>
      <c r="F964" s="4" t="str">
        <f>TEXT(G964,"mmm")</f>
        <v>Jan</v>
      </c>
      <c r="G964" s="3">
        <v>44942</v>
      </c>
      <c r="H964" s="4" t="s">
        <v>997</v>
      </c>
      <c r="I964" s="4" t="s">
        <v>29</v>
      </c>
      <c r="J964" s="4" t="str" cm="1">
        <f t="array" ref="J964">_xlfn.IFS(K964&lt;30,"Young Adult",K964&lt;=50,"Adult",K964&gt;50,"Senior")</f>
        <v>Adult</v>
      </c>
      <c r="K964" s="4">
        <v>34</v>
      </c>
      <c r="L964" s="4" t="s">
        <v>7</v>
      </c>
      <c r="M964" s="4">
        <v>4</v>
      </c>
      <c r="N964" s="19">
        <v>500</v>
      </c>
      <c r="O964" s="15">
        <f>M964 * N964</f>
        <v>2000</v>
      </c>
      <c r="P964" s="15">
        <f>O964*$S$3</f>
        <v>30</v>
      </c>
      <c r="Q964" s="15">
        <f>O964*$S$4</f>
        <v>40</v>
      </c>
    </row>
    <row r="965" spans="1:17">
      <c r="A965" s="2">
        <v>697</v>
      </c>
      <c r="B965" s="4">
        <f>DAY(G965)</f>
        <v>15</v>
      </c>
      <c r="C965" s="4">
        <f>MONTH(G965)</f>
        <v>1</v>
      </c>
      <c r="D965" s="4">
        <f>YEAR(G965)</f>
        <v>2023</v>
      </c>
      <c r="E965" s="4" t="str">
        <f>TEXT(G965,"dddd")</f>
        <v>Sunday</v>
      </c>
      <c r="F965" s="4" t="str">
        <f>TEXT(G965,"mmm")</f>
        <v>Jan</v>
      </c>
      <c r="G965" s="3">
        <v>44941</v>
      </c>
      <c r="H965" s="4" t="s">
        <v>998</v>
      </c>
      <c r="I965" s="4" t="s">
        <v>24</v>
      </c>
      <c r="J965" s="4" t="str" cm="1">
        <f t="array" ref="J965">_xlfn.IFS(K965&lt;30,"Young Adult",K965&lt;=50,"Adult",K965&gt;50,"Senior")</f>
        <v>Senior</v>
      </c>
      <c r="K965" s="4">
        <v>53</v>
      </c>
      <c r="L965" s="4" t="s">
        <v>8</v>
      </c>
      <c r="M965" s="4">
        <v>1</v>
      </c>
      <c r="N965" s="19">
        <v>500</v>
      </c>
      <c r="O965" s="15">
        <f>M965 * N965</f>
        <v>500</v>
      </c>
      <c r="P965" s="15">
        <f>O965*$S$3</f>
        <v>7.5</v>
      </c>
      <c r="Q965" s="15">
        <f>O965*$S$4</f>
        <v>10</v>
      </c>
    </row>
    <row r="966" spans="1:17">
      <c r="A966" s="2">
        <v>499</v>
      </c>
      <c r="B966" s="4">
        <f>DAY(G966)</f>
        <v>15</v>
      </c>
      <c r="C966" s="4">
        <f>MONTH(G966)</f>
        <v>1</v>
      </c>
      <c r="D966" s="4">
        <f>YEAR(G966)</f>
        <v>2023</v>
      </c>
      <c r="E966" s="4" t="str">
        <f>TEXT(G966,"dddd")</f>
        <v>Sunday</v>
      </c>
      <c r="F966" s="4" t="str">
        <f>TEXT(G966,"mmm")</f>
        <v>Jan</v>
      </c>
      <c r="G966" s="3">
        <v>44941</v>
      </c>
      <c r="H966" s="4" t="s">
        <v>999</v>
      </c>
      <c r="I966" s="4" t="s">
        <v>24</v>
      </c>
      <c r="J966" s="4" t="str" cm="1">
        <f t="array" ref="J966">_xlfn.IFS(K966&lt;30,"Young Adult",K966&lt;=50,"Adult",K966&gt;50,"Senior")</f>
        <v>Adult</v>
      </c>
      <c r="K966" s="4">
        <v>46</v>
      </c>
      <c r="L966" s="4" t="s">
        <v>7</v>
      </c>
      <c r="M966" s="4">
        <v>2</v>
      </c>
      <c r="N966" s="19">
        <v>30</v>
      </c>
      <c r="O966" s="15">
        <f>M966 * N966</f>
        <v>60</v>
      </c>
      <c r="P966" s="15">
        <f>O966*$S$3</f>
        <v>0.89999999999999991</v>
      </c>
      <c r="Q966" s="15">
        <f>O966*$S$4</f>
        <v>1.2</v>
      </c>
    </row>
    <row r="967" spans="1:17">
      <c r="A967" s="2">
        <v>831</v>
      </c>
      <c r="B967" s="4">
        <f>DAY(G967)</f>
        <v>15</v>
      </c>
      <c r="C967" s="4">
        <f>MONTH(G967)</f>
        <v>1</v>
      </c>
      <c r="D967" s="4">
        <f>YEAR(G967)</f>
        <v>2023</v>
      </c>
      <c r="E967" s="4" t="str">
        <f>TEXT(G967,"dddd")</f>
        <v>Sunday</v>
      </c>
      <c r="F967" s="4" t="str">
        <f>TEXT(G967,"mmm")</f>
        <v>Jan</v>
      </c>
      <c r="G967" s="3">
        <v>44941</v>
      </c>
      <c r="H967" s="4" t="s">
        <v>1000</v>
      </c>
      <c r="I967" s="4" t="s">
        <v>24</v>
      </c>
      <c r="J967" s="4" t="str" cm="1">
        <f t="array" ref="J967">_xlfn.IFS(K967&lt;30,"Young Adult",K967&lt;=50,"Adult",K967&gt;50,"Senior")</f>
        <v>Young Adult</v>
      </c>
      <c r="K967" s="4">
        <v>27</v>
      </c>
      <c r="L967" s="4" t="s">
        <v>9</v>
      </c>
      <c r="M967" s="4">
        <v>4</v>
      </c>
      <c r="N967" s="19">
        <v>25</v>
      </c>
      <c r="O967" s="15">
        <f>M967 * N967</f>
        <v>100</v>
      </c>
      <c r="P967" s="15">
        <f>O967*$S$3</f>
        <v>1.5</v>
      </c>
      <c r="Q967" s="15">
        <f>O967*$S$4</f>
        <v>2</v>
      </c>
    </row>
    <row r="968" spans="1:17">
      <c r="A968" s="2">
        <v>21</v>
      </c>
      <c r="B968" s="4">
        <f>DAY(G968)</f>
        <v>14</v>
      </c>
      <c r="C968" s="4">
        <f>MONTH(G968)</f>
        <v>1</v>
      </c>
      <c r="D968" s="4">
        <f>YEAR(G968)</f>
        <v>2023</v>
      </c>
      <c r="E968" s="4" t="str">
        <f>TEXT(G968,"dddd")</f>
        <v>Saturday</v>
      </c>
      <c r="F968" s="4" t="str">
        <f>TEXT(G968,"mmm")</f>
        <v>Jan</v>
      </c>
      <c r="G968" s="3">
        <v>44940</v>
      </c>
      <c r="H968" s="4" t="s">
        <v>1001</v>
      </c>
      <c r="I968" s="4" t="s">
        <v>29</v>
      </c>
      <c r="J968" s="4" t="str" cm="1">
        <f t="array" ref="J968">_xlfn.IFS(K968&lt;30,"Young Adult",K968&lt;=50,"Adult",K968&gt;50,"Senior")</f>
        <v>Adult</v>
      </c>
      <c r="K968" s="4">
        <v>50</v>
      </c>
      <c r="L968" s="4" t="s">
        <v>7</v>
      </c>
      <c r="M968" s="4">
        <v>1</v>
      </c>
      <c r="N968" s="19">
        <v>500</v>
      </c>
      <c r="O968" s="15">
        <f>M968 * N968</f>
        <v>500</v>
      </c>
      <c r="P968" s="15">
        <f>O968*$S$3</f>
        <v>7.5</v>
      </c>
      <c r="Q968" s="15">
        <f>O968*$S$4</f>
        <v>10</v>
      </c>
    </row>
    <row r="969" spans="1:17">
      <c r="A969" s="2">
        <v>708</v>
      </c>
      <c r="B969" s="4">
        <f>DAY(G969)</f>
        <v>14</v>
      </c>
      <c r="C969" s="4">
        <f>MONTH(G969)</f>
        <v>1</v>
      </c>
      <c r="D969" s="4">
        <f>YEAR(G969)</f>
        <v>2023</v>
      </c>
      <c r="E969" s="4" t="str">
        <f>TEXT(G969,"dddd")</f>
        <v>Saturday</v>
      </c>
      <c r="F969" s="4" t="str">
        <f>TEXT(G969,"mmm")</f>
        <v>Jan</v>
      </c>
      <c r="G969" s="3">
        <v>44940</v>
      </c>
      <c r="H969" s="4" t="s">
        <v>1002</v>
      </c>
      <c r="I969" s="4" t="s">
        <v>29</v>
      </c>
      <c r="J969" s="4" t="str" cm="1">
        <f t="array" ref="J969">_xlfn.IFS(K969&lt;30,"Young Adult",K969&lt;=50,"Adult",K969&gt;50,"Senior")</f>
        <v>Adult</v>
      </c>
      <c r="K969" s="4">
        <v>43</v>
      </c>
      <c r="L969" s="4" t="s">
        <v>7</v>
      </c>
      <c r="M969" s="4">
        <v>3</v>
      </c>
      <c r="N969" s="19">
        <v>300</v>
      </c>
      <c r="O969" s="15">
        <f>M969 * N969</f>
        <v>900</v>
      </c>
      <c r="P969" s="15">
        <f>O969*$S$3</f>
        <v>13.5</v>
      </c>
      <c r="Q969" s="15">
        <f>O969*$S$4</f>
        <v>18</v>
      </c>
    </row>
    <row r="970" spans="1:17">
      <c r="A970" s="2">
        <v>713</v>
      </c>
      <c r="B970" s="4">
        <f>DAY(G970)</f>
        <v>14</v>
      </c>
      <c r="C970" s="4">
        <f>MONTH(G970)</f>
        <v>1</v>
      </c>
      <c r="D970" s="4">
        <f>YEAR(G970)</f>
        <v>2023</v>
      </c>
      <c r="E970" s="4" t="str">
        <f>TEXT(G970,"dddd")</f>
        <v>Saturday</v>
      </c>
      <c r="F970" s="4" t="str">
        <f>TEXT(G970,"mmm")</f>
        <v>Jan</v>
      </c>
      <c r="G970" s="3">
        <v>44940</v>
      </c>
      <c r="H970" s="4" t="s">
        <v>1003</v>
      </c>
      <c r="I970" s="4" t="s">
        <v>24</v>
      </c>
      <c r="J970" s="4" t="str" cm="1">
        <f t="array" ref="J970">_xlfn.IFS(K970&lt;30,"Young Adult",K970&lt;=50,"Adult",K970&gt;50,"Senior")</f>
        <v>Adult</v>
      </c>
      <c r="K970" s="4">
        <v>34</v>
      </c>
      <c r="L970" s="4" t="s">
        <v>7</v>
      </c>
      <c r="M970" s="4">
        <v>3</v>
      </c>
      <c r="N970" s="19">
        <v>25</v>
      </c>
      <c r="O970" s="15">
        <f>M970 * N970</f>
        <v>75</v>
      </c>
      <c r="P970" s="15">
        <f>O970*$S$3</f>
        <v>1.125</v>
      </c>
      <c r="Q970" s="15">
        <f>O970*$S$4</f>
        <v>1.5</v>
      </c>
    </row>
    <row r="971" spans="1:17">
      <c r="A971" s="2">
        <v>768</v>
      </c>
      <c r="B971" s="4">
        <f>DAY(G971)</f>
        <v>14</v>
      </c>
      <c r="C971" s="4">
        <f>MONTH(G971)</f>
        <v>1</v>
      </c>
      <c r="D971" s="4">
        <f>YEAR(G971)</f>
        <v>2023</v>
      </c>
      <c r="E971" s="4" t="str">
        <f>TEXT(G971,"dddd")</f>
        <v>Saturday</v>
      </c>
      <c r="F971" s="4" t="str">
        <f>TEXT(G971,"mmm")</f>
        <v>Jan</v>
      </c>
      <c r="G971" s="3">
        <v>44940</v>
      </c>
      <c r="H971" s="4" t="s">
        <v>1004</v>
      </c>
      <c r="I971" s="4" t="s">
        <v>29</v>
      </c>
      <c r="J971" s="4" t="str" cm="1">
        <f t="array" ref="J971">_xlfn.IFS(K971&lt;30,"Young Adult",K971&lt;=50,"Adult",K971&gt;50,"Senior")</f>
        <v>Young Adult</v>
      </c>
      <c r="K971" s="4">
        <v>24</v>
      </c>
      <c r="L971" s="4" t="s">
        <v>7</v>
      </c>
      <c r="M971" s="4">
        <v>3</v>
      </c>
      <c r="N971" s="19">
        <v>25</v>
      </c>
      <c r="O971" s="15">
        <f>M971 * N971</f>
        <v>75</v>
      </c>
      <c r="P971" s="15">
        <f>O971*$S$3</f>
        <v>1.125</v>
      </c>
      <c r="Q971" s="15">
        <f>O971*$S$4</f>
        <v>1.5</v>
      </c>
    </row>
    <row r="972" spans="1:17">
      <c r="A972" s="2">
        <v>591</v>
      </c>
      <c r="B972" s="4">
        <f>DAY(G972)</f>
        <v>13</v>
      </c>
      <c r="C972" s="4">
        <f>MONTH(G972)</f>
        <v>1</v>
      </c>
      <c r="D972" s="4">
        <f>YEAR(G972)</f>
        <v>2023</v>
      </c>
      <c r="E972" s="4" t="str">
        <f>TEXT(G972,"dddd")</f>
        <v>Friday</v>
      </c>
      <c r="F972" s="4" t="str">
        <f>TEXT(G972,"mmm")</f>
        <v>Jan</v>
      </c>
      <c r="G972" s="3">
        <v>44939</v>
      </c>
      <c r="H972" s="4" t="s">
        <v>1005</v>
      </c>
      <c r="I972" s="4" t="s">
        <v>24</v>
      </c>
      <c r="J972" s="4" t="str" cm="1">
        <f t="array" ref="J972">_xlfn.IFS(K972&lt;30,"Young Adult",K972&lt;=50,"Adult",K972&gt;50,"Senior")</f>
        <v>Senior</v>
      </c>
      <c r="K972" s="4">
        <v>53</v>
      </c>
      <c r="L972" s="4" t="s">
        <v>9</v>
      </c>
      <c r="M972" s="4">
        <v>4</v>
      </c>
      <c r="N972" s="19">
        <v>25</v>
      </c>
      <c r="O972" s="15">
        <f>M972 * N972</f>
        <v>100</v>
      </c>
      <c r="P972" s="15">
        <f>O972*$S$3</f>
        <v>1.5</v>
      </c>
      <c r="Q972" s="15">
        <f>O972*$S$4</f>
        <v>2</v>
      </c>
    </row>
    <row r="973" spans="1:17">
      <c r="A973" s="2">
        <v>3</v>
      </c>
      <c r="B973" s="4">
        <f>DAY(G973)</f>
        <v>13</v>
      </c>
      <c r="C973" s="4">
        <f>MONTH(G973)</f>
        <v>1</v>
      </c>
      <c r="D973" s="4">
        <f>YEAR(G973)</f>
        <v>2023</v>
      </c>
      <c r="E973" s="4" t="str">
        <f>TEXT(G973,"dddd")</f>
        <v>Friday</v>
      </c>
      <c r="F973" s="4" t="str">
        <f>TEXT(G973,"mmm")</f>
        <v>Jan</v>
      </c>
      <c r="G973" s="3">
        <v>44939</v>
      </c>
      <c r="H973" s="4" t="s">
        <v>1006</v>
      </c>
      <c r="I973" s="4" t="s">
        <v>24</v>
      </c>
      <c r="J973" s="4" t="str" cm="1">
        <f t="array" ref="J973">_xlfn.IFS(K973&lt;30,"Young Adult",K973&lt;=50,"Adult",K973&gt;50,"Senior")</f>
        <v>Adult</v>
      </c>
      <c r="K973" s="4">
        <v>50</v>
      </c>
      <c r="L973" s="4" t="s">
        <v>9</v>
      </c>
      <c r="M973" s="4">
        <v>1</v>
      </c>
      <c r="N973" s="19">
        <v>30</v>
      </c>
      <c r="O973" s="15">
        <f>M973 * N973</f>
        <v>30</v>
      </c>
      <c r="P973" s="15">
        <f>O973*$S$3</f>
        <v>0.44999999999999996</v>
      </c>
      <c r="Q973" s="15">
        <f>O973*$S$4</f>
        <v>0.6</v>
      </c>
    </row>
    <row r="974" spans="1:17">
      <c r="A974" s="2">
        <v>464</v>
      </c>
      <c r="B974" s="4">
        <f>DAY(G974)</f>
        <v>13</v>
      </c>
      <c r="C974" s="4">
        <f>MONTH(G974)</f>
        <v>1</v>
      </c>
      <c r="D974" s="4">
        <f>YEAR(G974)</f>
        <v>2023</v>
      </c>
      <c r="E974" s="4" t="str">
        <f>TEXT(G974,"dddd")</f>
        <v>Friday</v>
      </c>
      <c r="F974" s="4" t="str">
        <f>TEXT(G974,"mmm")</f>
        <v>Jan</v>
      </c>
      <c r="G974" s="3">
        <v>44939</v>
      </c>
      <c r="H974" s="4" t="s">
        <v>1007</v>
      </c>
      <c r="I974" s="4" t="s">
        <v>24</v>
      </c>
      <c r="J974" s="4" t="str" cm="1">
        <f t="array" ref="J974">_xlfn.IFS(K974&lt;30,"Young Adult",K974&lt;=50,"Adult",K974&gt;50,"Senior")</f>
        <v>Adult</v>
      </c>
      <c r="K974" s="4">
        <v>38</v>
      </c>
      <c r="L974" s="4" t="s">
        <v>9</v>
      </c>
      <c r="M974" s="4">
        <v>2</v>
      </c>
      <c r="N974" s="19">
        <v>300</v>
      </c>
      <c r="O974" s="15">
        <f>M974 * N974</f>
        <v>600</v>
      </c>
      <c r="P974" s="15">
        <f>O974*$S$3</f>
        <v>9</v>
      </c>
      <c r="Q974" s="15">
        <f>O974*$S$4</f>
        <v>12</v>
      </c>
    </row>
    <row r="975" spans="1:17">
      <c r="A975" s="2">
        <v>484</v>
      </c>
      <c r="B975" s="4">
        <f>DAY(G975)</f>
        <v>13</v>
      </c>
      <c r="C975" s="4">
        <f>MONTH(G975)</f>
        <v>1</v>
      </c>
      <c r="D975" s="4">
        <f>YEAR(G975)</f>
        <v>2023</v>
      </c>
      <c r="E975" s="4" t="str">
        <f>TEXT(G975,"dddd")</f>
        <v>Friday</v>
      </c>
      <c r="F975" s="4" t="str">
        <f>TEXT(G975,"mmm")</f>
        <v>Jan</v>
      </c>
      <c r="G975" s="3">
        <v>44939</v>
      </c>
      <c r="H975" s="4" t="s">
        <v>1008</v>
      </c>
      <c r="I975" s="4" t="s">
        <v>29</v>
      </c>
      <c r="J975" s="4" t="str" cm="1">
        <f t="array" ref="J975">_xlfn.IFS(K975&lt;30,"Young Adult",K975&lt;=50,"Adult",K975&gt;50,"Senior")</f>
        <v>Young Adult</v>
      </c>
      <c r="K975" s="4">
        <v>19</v>
      </c>
      <c r="L975" s="4" t="s">
        <v>8</v>
      </c>
      <c r="M975" s="4">
        <v>4</v>
      </c>
      <c r="N975" s="19">
        <v>300</v>
      </c>
      <c r="O975" s="15">
        <f>M975 * N975</f>
        <v>1200</v>
      </c>
      <c r="P975" s="15">
        <f>O975*$S$3</f>
        <v>18</v>
      </c>
      <c r="Q975" s="15">
        <f>O975*$S$4</f>
        <v>24</v>
      </c>
    </row>
    <row r="976" spans="1:17">
      <c r="A976" s="2">
        <v>225</v>
      </c>
      <c r="B976" s="4">
        <f>DAY(G976)</f>
        <v>11</v>
      </c>
      <c r="C976" s="4">
        <f>MONTH(G976)</f>
        <v>1</v>
      </c>
      <c r="D976" s="4">
        <f>YEAR(G976)</f>
        <v>2023</v>
      </c>
      <c r="E976" s="4" t="str">
        <f>TEXT(G976,"dddd")</f>
        <v>Wednesday</v>
      </c>
      <c r="F976" s="4" t="str">
        <f>TEXT(G976,"mmm")</f>
        <v>Jan</v>
      </c>
      <c r="G976" s="3">
        <v>44937</v>
      </c>
      <c r="H976" s="4" t="s">
        <v>1009</v>
      </c>
      <c r="I976" s="4" t="s">
        <v>29</v>
      </c>
      <c r="J976" s="4" t="str" cm="1">
        <f t="array" ref="J976">_xlfn.IFS(K976&lt;30,"Young Adult",K976&lt;=50,"Adult",K976&gt;50,"Senior")</f>
        <v>Senior</v>
      </c>
      <c r="K976" s="4">
        <v>57</v>
      </c>
      <c r="L976" s="4" t="s">
        <v>7</v>
      </c>
      <c r="M976" s="4">
        <v>4</v>
      </c>
      <c r="N976" s="19">
        <v>25</v>
      </c>
      <c r="O976" s="15">
        <f>M976 * N976</f>
        <v>100</v>
      </c>
      <c r="P976" s="15">
        <f>O976*$S$3</f>
        <v>1.5</v>
      </c>
      <c r="Q976" s="15">
        <f>O976*$S$4</f>
        <v>2</v>
      </c>
    </row>
    <row r="977" spans="1:17">
      <c r="A977" s="2">
        <v>746</v>
      </c>
      <c r="B977" s="4">
        <f>DAY(G977)</f>
        <v>11</v>
      </c>
      <c r="C977" s="4">
        <f>MONTH(G977)</f>
        <v>1</v>
      </c>
      <c r="D977" s="4">
        <f>YEAR(G977)</f>
        <v>2023</v>
      </c>
      <c r="E977" s="4" t="str">
        <f>TEXT(G977,"dddd")</f>
        <v>Wednesday</v>
      </c>
      <c r="F977" s="4" t="str">
        <f>TEXT(G977,"mmm")</f>
        <v>Jan</v>
      </c>
      <c r="G977" s="3">
        <v>44937</v>
      </c>
      <c r="H977" s="4" t="s">
        <v>1010</v>
      </c>
      <c r="I977" s="4" t="s">
        <v>29</v>
      </c>
      <c r="J977" s="4" t="str" cm="1">
        <f t="array" ref="J977">_xlfn.IFS(K977&lt;30,"Young Adult",K977&lt;=50,"Adult",K977&gt;50,"Senior")</f>
        <v>Adult</v>
      </c>
      <c r="K977" s="4">
        <v>33</v>
      </c>
      <c r="L977" s="4" t="s">
        <v>8</v>
      </c>
      <c r="M977" s="4">
        <v>3</v>
      </c>
      <c r="N977" s="19">
        <v>30</v>
      </c>
      <c r="O977" s="15">
        <f>M977 * N977</f>
        <v>90</v>
      </c>
      <c r="P977" s="15">
        <f>O977*$S$3</f>
        <v>1.3499999999999999</v>
      </c>
      <c r="Q977" s="15">
        <f>O977*$S$4</f>
        <v>1.8</v>
      </c>
    </row>
    <row r="978" spans="1:17">
      <c r="A978" s="2">
        <v>679</v>
      </c>
      <c r="B978" s="4">
        <f>DAY(G978)</f>
        <v>11</v>
      </c>
      <c r="C978" s="4">
        <f>MONTH(G978)</f>
        <v>1</v>
      </c>
      <c r="D978" s="4">
        <f>YEAR(G978)</f>
        <v>2023</v>
      </c>
      <c r="E978" s="4" t="str">
        <f>TEXT(G978,"dddd")</f>
        <v>Wednesday</v>
      </c>
      <c r="F978" s="4" t="str">
        <f>TEXT(G978,"mmm")</f>
        <v>Jan</v>
      </c>
      <c r="G978" s="3">
        <v>44937</v>
      </c>
      <c r="H978" s="4" t="s">
        <v>1011</v>
      </c>
      <c r="I978" s="4" t="s">
        <v>29</v>
      </c>
      <c r="J978" s="4" t="str" cm="1">
        <f t="array" ref="J978">_xlfn.IFS(K978&lt;30,"Young Adult",K978&lt;=50,"Adult",K978&gt;50,"Senior")</f>
        <v>Young Adult</v>
      </c>
      <c r="K978" s="4">
        <v>18</v>
      </c>
      <c r="L978" s="4" t="s">
        <v>7</v>
      </c>
      <c r="M978" s="4">
        <v>3</v>
      </c>
      <c r="N978" s="19">
        <v>30</v>
      </c>
      <c r="O978" s="15">
        <f>M978 * N978</f>
        <v>90</v>
      </c>
      <c r="P978" s="15">
        <f>O978*$S$3</f>
        <v>1.3499999999999999</v>
      </c>
      <c r="Q978" s="15">
        <f>O978*$S$4</f>
        <v>1.8</v>
      </c>
    </row>
    <row r="979" spans="1:17">
      <c r="A979" s="2">
        <v>184</v>
      </c>
      <c r="B979" s="4">
        <f>DAY(G979)</f>
        <v>10</v>
      </c>
      <c r="C979" s="4">
        <f>MONTH(G979)</f>
        <v>1</v>
      </c>
      <c r="D979" s="4">
        <f>YEAR(G979)</f>
        <v>2023</v>
      </c>
      <c r="E979" s="4" t="str">
        <f>TEXT(G979,"dddd")</f>
        <v>Tuesday</v>
      </c>
      <c r="F979" s="4" t="str">
        <f>TEXT(G979,"mmm")</f>
        <v>Jan</v>
      </c>
      <c r="G979" s="3">
        <v>44936</v>
      </c>
      <c r="H979" s="4" t="s">
        <v>1012</v>
      </c>
      <c r="I979" s="4" t="s">
        <v>24</v>
      </c>
      <c r="J979" s="4" t="str" cm="1">
        <f t="array" ref="J979">_xlfn.IFS(K979&lt;30,"Young Adult",K979&lt;=50,"Adult",K979&gt;50,"Senior")</f>
        <v>Adult</v>
      </c>
      <c r="K979" s="4">
        <v>31</v>
      </c>
      <c r="L979" s="4" t="s">
        <v>9</v>
      </c>
      <c r="M979" s="4">
        <v>4</v>
      </c>
      <c r="N979" s="19">
        <v>50</v>
      </c>
      <c r="O979" s="15">
        <f>M979 * N979</f>
        <v>200</v>
      </c>
      <c r="P979" s="15">
        <f>O979*$S$3</f>
        <v>3</v>
      </c>
      <c r="Q979" s="15">
        <f>O979*$S$4</f>
        <v>4</v>
      </c>
    </row>
    <row r="980" spans="1:17">
      <c r="A980" s="2">
        <v>734</v>
      </c>
      <c r="B980" s="4">
        <f>DAY(G980)</f>
        <v>10</v>
      </c>
      <c r="C980" s="4">
        <f>MONTH(G980)</f>
        <v>1</v>
      </c>
      <c r="D980" s="4">
        <f>YEAR(G980)</f>
        <v>2023</v>
      </c>
      <c r="E980" s="4" t="str">
        <f>TEXT(G980,"dddd")</f>
        <v>Tuesday</v>
      </c>
      <c r="F980" s="4" t="str">
        <f>TEXT(G980,"mmm")</f>
        <v>Jan</v>
      </c>
      <c r="G980" s="3">
        <v>44936</v>
      </c>
      <c r="H980" s="4" t="s">
        <v>1013</v>
      </c>
      <c r="I980" s="4" t="s">
        <v>29</v>
      </c>
      <c r="J980" s="4" t="str" cm="1">
        <f t="array" ref="J980">_xlfn.IFS(K980&lt;30,"Young Adult",K980&lt;=50,"Adult",K980&gt;50,"Senior")</f>
        <v>Young Adult</v>
      </c>
      <c r="K980" s="4">
        <v>27</v>
      </c>
      <c r="L980" s="4" t="s">
        <v>8</v>
      </c>
      <c r="M980" s="4">
        <v>1</v>
      </c>
      <c r="N980" s="19">
        <v>30</v>
      </c>
      <c r="O980" s="15">
        <f>M980 * N980</f>
        <v>30</v>
      </c>
      <c r="P980" s="15">
        <f>O980*$S$3</f>
        <v>0.44999999999999996</v>
      </c>
      <c r="Q980" s="15">
        <f>O980*$S$4</f>
        <v>0.6</v>
      </c>
    </row>
    <row r="981" spans="1:17">
      <c r="A981" s="2">
        <v>860</v>
      </c>
      <c r="B981" s="4">
        <f>DAY(G981)</f>
        <v>9</v>
      </c>
      <c r="C981" s="4">
        <f>MONTH(G981)</f>
        <v>1</v>
      </c>
      <c r="D981" s="4">
        <f>YEAR(G981)</f>
        <v>2023</v>
      </c>
      <c r="E981" s="4" t="str">
        <f>TEXT(G981,"dddd")</f>
        <v>Monday</v>
      </c>
      <c r="F981" s="4" t="str">
        <f>TEXT(G981,"mmm")</f>
        <v>Jan</v>
      </c>
      <c r="G981" s="3">
        <v>44935</v>
      </c>
      <c r="H981" s="4" t="s">
        <v>1014</v>
      </c>
      <c r="I981" s="4" t="s">
        <v>24</v>
      </c>
      <c r="J981" s="4" t="str" cm="1">
        <f t="array" ref="J981">_xlfn.IFS(K981&lt;30,"Young Adult",K981&lt;=50,"Adult",K981&gt;50,"Senior")</f>
        <v>Senior</v>
      </c>
      <c r="K981" s="4">
        <v>63</v>
      </c>
      <c r="L981" s="4" t="s">
        <v>8</v>
      </c>
      <c r="M981" s="4">
        <v>4</v>
      </c>
      <c r="N981" s="19">
        <v>50</v>
      </c>
      <c r="O981" s="15">
        <f>M981 * N981</f>
        <v>200</v>
      </c>
      <c r="P981" s="15">
        <f>O981*$S$3</f>
        <v>3</v>
      </c>
      <c r="Q981" s="15">
        <f>O981*$S$4</f>
        <v>4</v>
      </c>
    </row>
    <row r="982" spans="1:17">
      <c r="A982" s="2">
        <v>291</v>
      </c>
      <c r="B982" s="4">
        <f>DAY(G982)</f>
        <v>8</v>
      </c>
      <c r="C982" s="4">
        <f>MONTH(G982)</f>
        <v>1</v>
      </c>
      <c r="D982" s="4">
        <f>YEAR(G982)</f>
        <v>2023</v>
      </c>
      <c r="E982" s="4" t="str">
        <f>TEXT(G982,"dddd")</f>
        <v>Sunday</v>
      </c>
      <c r="F982" s="4" t="str">
        <f>TEXT(G982,"mmm")</f>
        <v>Jan</v>
      </c>
      <c r="G982" s="3">
        <v>44934</v>
      </c>
      <c r="H982" s="4" t="s">
        <v>1015</v>
      </c>
      <c r="I982" s="4" t="s">
        <v>24</v>
      </c>
      <c r="J982" s="4" t="str" cm="1">
        <f t="array" ref="J982">_xlfn.IFS(K982&lt;30,"Young Adult",K982&lt;=50,"Adult",K982&gt;50,"Senior")</f>
        <v>Senior</v>
      </c>
      <c r="K982" s="4">
        <v>60</v>
      </c>
      <c r="L982" s="4" t="s">
        <v>8</v>
      </c>
      <c r="M982" s="4">
        <v>2</v>
      </c>
      <c r="N982" s="19">
        <v>300</v>
      </c>
      <c r="O982" s="15">
        <f>M982 * N982</f>
        <v>600</v>
      </c>
      <c r="P982" s="15">
        <f>O982*$S$3</f>
        <v>9</v>
      </c>
      <c r="Q982" s="15">
        <f>O982*$S$4</f>
        <v>12</v>
      </c>
    </row>
    <row r="983" spans="1:17">
      <c r="A983" s="2">
        <v>907</v>
      </c>
      <c r="B983" s="4">
        <f>DAY(G983)</f>
        <v>8</v>
      </c>
      <c r="C983" s="4">
        <f>MONTH(G983)</f>
        <v>1</v>
      </c>
      <c r="D983" s="4">
        <f>YEAR(G983)</f>
        <v>2023</v>
      </c>
      <c r="E983" s="4" t="str">
        <f>TEXT(G983,"dddd")</f>
        <v>Sunday</v>
      </c>
      <c r="F983" s="4" t="str">
        <f>TEXT(G983,"mmm")</f>
        <v>Jan</v>
      </c>
      <c r="G983" s="3">
        <v>44934</v>
      </c>
      <c r="H983" s="4" t="s">
        <v>1016</v>
      </c>
      <c r="I983" s="4" t="s">
        <v>29</v>
      </c>
      <c r="J983" s="4" t="str" cm="1">
        <f t="array" ref="J983">_xlfn.IFS(K983&lt;30,"Young Adult",K983&lt;=50,"Adult",K983&gt;50,"Senior")</f>
        <v>Adult</v>
      </c>
      <c r="K983" s="4">
        <v>45</v>
      </c>
      <c r="L983" s="4" t="s">
        <v>9</v>
      </c>
      <c r="M983" s="4">
        <v>1</v>
      </c>
      <c r="N983" s="19">
        <v>25</v>
      </c>
      <c r="O983" s="15">
        <f>M983 * N983</f>
        <v>25</v>
      </c>
      <c r="P983" s="15">
        <f>O983*$S$3</f>
        <v>0.375</v>
      </c>
      <c r="Q983" s="15">
        <f>O983*$S$4</f>
        <v>0.5</v>
      </c>
    </row>
    <row r="984" spans="1:17">
      <c r="A984" s="2">
        <v>921</v>
      </c>
      <c r="B984" s="4">
        <f>DAY(G984)</f>
        <v>7</v>
      </c>
      <c r="C984" s="4">
        <f>MONTH(G984)</f>
        <v>1</v>
      </c>
      <c r="D984" s="4">
        <f>YEAR(G984)</f>
        <v>2023</v>
      </c>
      <c r="E984" s="4" t="str">
        <f>TEXT(G984,"dddd")</f>
        <v>Saturday</v>
      </c>
      <c r="F984" s="4" t="str">
        <f>TEXT(G984,"mmm")</f>
        <v>Jan</v>
      </c>
      <c r="G984" s="3">
        <v>44933</v>
      </c>
      <c r="H984" s="4" t="s">
        <v>1017</v>
      </c>
      <c r="I984" s="4" t="s">
        <v>24</v>
      </c>
      <c r="J984" s="4" t="str" cm="1">
        <f t="array" ref="J984">_xlfn.IFS(K984&lt;30,"Young Adult",K984&lt;=50,"Adult",K984&gt;50,"Senior")</f>
        <v>Senior</v>
      </c>
      <c r="K984" s="4">
        <v>51</v>
      </c>
      <c r="L984" s="4" t="s">
        <v>9</v>
      </c>
      <c r="M984" s="4">
        <v>3</v>
      </c>
      <c r="N984" s="19">
        <v>25</v>
      </c>
      <c r="O984" s="15">
        <f>M984 * N984</f>
        <v>75</v>
      </c>
      <c r="P984" s="15">
        <f>O984*$S$3</f>
        <v>1.125</v>
      </c>
      <c r="Q984" s="15">
        <f>O984*$S$4</f>
        <v>1.5</v>
      </c>
    </row>
    <row r="985" spans="1:17">
      <c r="A985" s="2">
        <v>797</v>
      </c>
      <c r="B985" s="4">
        <f>DAY(G985)</f>
        <v>7</v>
      </c>
      <c r="C985" s="4">
        <f>MONTH(G985)</f>
        <v>1</v>
      </c>
      <c r="D985" s="4">
        <f>YEAR(G985)</f>
        <v>2023</v>
      </c>
      <c r="E985" s="4" t="str">
        <f>TEXT(G985,"dddd")</f>
        <v>Saturday</v>
      </c>
      <c r="F985" s="4" t="str">
        <f>TEXT(G985,"mmm")</f>
        <v>Jan</v>
      </c>
      <c r="G985" s="3">
        <v>44933</v>
      </c>
      <c r="H985" s="4" t="s">
        <v>1018</v>
      </c>
      <c r="I985" s="4" t="s">
        <v>24</v>
      </c>
      <c r="J985" s="4" t="str" cm="1">
        <f t="array" ref="J985">_xlfn.IFS(K985&lt;30,"Young Adult",K985&lt;=50,"Adult",K985&gt;50,"Senior")</f>
        <v>Adult</v>
      </c>
      <c r="K985" s="4">
        <v>40</v>
      </c>
      <c r="L985" s="4" t="s">
        <v>8</v>
      </c>
      <c r="M985" s="4">
        <v>3</v>
      </c>
      <c r="N985" s="19">
        <v>25</v>
      </c>
      <c r="O985" s="15">
        <f>M985 * N985</f>
        <v>75</v>
      </c>
      <c r="P985" s="15">
        <f>O985*$S$3</f>
        <v>1.125</v>
      </c>
      <c r="Q985" s="15">
        <f>O985*$S$4</f>
        <v>1.5</v>
      </c>
    </row>
    <row r="986" spans="1:17">
      <c r="A986" s="2">
        <v>150</v>
      </c>
      <c r="B986" s="4">
        <f>DAY(G986)</f>
        <v>6</v>
      </c>
      <c r="C986" s="4">
        <f>MONTH(G986)</f>
        <v>1</v>
      </c>
      <c r="D986" s="4">
        <f>YEAR(G986)</f>
        <v>2023</v>
      </c>
      <c r="E986" s="4" t="str">
        <f>TEXT(G986,"dddd")</f>
        <v>Friday</v>
      </c>
      <c r="F986" s="4" t="str">
        <f>TEXT(G986,"mmm")</f>
        <v>Jan</v>
      </c>
      <c r="G986" s="3">
        <v>44932</v>
      </c>
      <c r="H986" s="4" t="s">
        <v>1019</v>
      </c>
      <c r="I986" s="4" t="s">
        <v>29</v>
      </c>
      <c r="J986" s="4" t="str" cm="1">
        <f t="array" ref="J986">_xlfn.IFS(K986&lt;30,"Young Adult",K986&lt;=50,"Adult",K986&gt;50,"Senior")</f>
        <v>Senior</v>
      </c>
      <c r="K986" s="4">
        <v>58</v>
      </c>
      <c r="L986" s="4" t="s">
        <v>9</v>
      </c>
      <c r="M986" s="4">
        <v>4</v>
      </c>
      <c r="N986" s="19">
        <v>30</v>
      </c>
      <c r="O986" s="15">
        <f>M986 * N986</f>
        <v>120</v>
      </c>
      <c r="P986" s="15">
        <f>O986*$S$3</f>
        <v>1.7999999999999998</v>
      </c>
      <c r="Q986" s="15">
        <f>O986*$S$4</f>
        <v>2.4</v>
      </c>
    </row>
    <row r="987" spans="1:17">
      <c r="A987" s="2">
        <v>845</v>
      </c>
      <c r="B987" s="4">
        <f>DAY(G987)</f>
        <v>6</v>
      </c>
      <c r="C987" s="4">
        <f>MONTH(G987)</f>
        <v>1</v>
      </c>
      <c r="D987" s="4">
        <f>YEAR(G987)</f>
        <v>2023</v>
      </c>
      <c r="E987" s="4" t="str">
        <f>TEXT(G987,"dddd")</f>
        <v>Friday</v>
      </c>
      <c r="F987" s="4" t="str">
        <f>TEXT(G987,"mmm")</f>
        <v>Jan</v>
      </c>
      <c r="G987" s="3">
        <v>44932</v>
      </c>
      <c r="H987" s="4" t="s">
        <v>1020</v>
      </c>
      <c r="I987" s="4" t="s">
        <v>24</v>
      </c>
      <c r="J987" s="4" t="str" cm="1">
        <f t="array" ref="J987">_xlfn.IFS(K987&lt;30,"Young Adult",K987&lt;=50,"Adult",K987&gt;50,"Senior")</f>
        <v>Senior</v>
      </c>
      <c r="K987" s="4">
        <v>54</v>
      </c>
      <c r="L987" s="4" t="s">
        <v>8</v>
      </c>
      <c r="M987" s="4">
        <v>1</v>
      </c>
      <c r="N987" s="19">
        <v>500</v>
      </c>
      <c r="O987" s="15">
        <f>M987 * N987</f>
        <v>500</v>
      </c>
      <c r="P987" s="15">
        <f>O987*$S$3</f>
        <v>7.5</v>
      </c>
      <c r="Q987" s="15">
        <f>O987*$S$4</f>
        <v>10</v>
      </c>
    </row>
    <row r="988" spans="1:17">
      <c r="A988" s="2">
        <v>432</v>
      </c>
      <c r="B988" s="4">
        <f>DAY(G988)</f>
        <v>5</v>
      </c>
      <c r="C988" s="4">
        <f>MONTH(G988)</f>
        <v>1</v>
      </c>
      <c r="D988" s="4">
        <f>YEAR(G988)</f>
        <v>2023</v>
      </c>
      <c r="E988" s="4" t="str">
        <f>TEXT(G988,"dddd")</f>
        <v>Thursday</v>
      </c>
      <c r="F988" s="4" t="str">
        <f>TEXT(G988,"mmm")</f>
        <v>Jan</v>
      </c>
      <c r="G988" s="3">
        <v>44931</v>
      </c>
      <c r="H988" s="4" t="s">
        <v>1021</v>
      </c>
      <c r="I988" s="4" t="s">
        <v>29</v>
      </c>
      <c r="J988" s="4" t="str" cm="1">
        <f t="array" ref="J988">_xlfn.IFS(K988&lt;30,"Young Adult",K988&lt;=50,"Adult",K988&gt;50,"Senior")</f>
        <v>Senior</v>
      </c>
      <c r="K988" s="4">
        <v>60</v>
      </c>
      <c r="L988" s="4" t="s">
        <v>9</v>
      </c>
      <c r="M988" s="4">
        <v>2</v>
      </c>
      <c r="N988" s="19">
        <v>500</v>
      </c>
      <c r="O988" s="15">
        <f>M988 * N988</f>
        <v>1000</v>
      </c>
      <c r="P988" s="15">
        <f>O988*$S$3</f>
        <v>15</v>
      </c>
      <c r="Q988" s="15">
        <f>O988*$S$4</f>
        <v>20</v>
      </c>
    </row>
    <row r="989" spans="1:17">
      <c r="A989" s="2">
        <v>367</v>
      </c>
      <c r="B989" s="4">
        <f>DAY(G989)</f>
        <v>5</v>
      </c>
      <c r="C989" s="4">
        <f>MONTH(G989)</f>
        <v>1</v>
      </c>
      <c r="D989" s="4">
        <f>YEAR(G989)</f>
        <v>2023</v>
      </c>
      <c r="E989" s="4" t="str">
        <f>TEXT(G989,"dddd")</f>
        <v>Thursday</v>
      </c>
      <c r="F989" s="4" t="str">
        <f>TEXT(G989,"mmm")</f>
        <v>Jan</v>
      </c>
      <c r="G989" s="3">
        <v>44931</v>
      </c>
      <c r="H989" s="4" t="s">
        <v>1022</v>
      </c>
      <c r="I989" s="4" t="s">
        <v>29</v>
      </c>
      <c r="J989" s="4" t="str" cm="1">
        <f t="array" ref="J989">_xlfn.IFS(K989&lt;30,"Young Adult",K989&lt;=50,"Adult",K989&gt;50,"Senior")</f>
        <v>Senior</v>
      </c>
      <c r="K989" s="4">
        <v>57</v>
      </c>
      <c r="L989" s="4" t="s">
        <v>9</v>
      </c>
      <c r="M989" s="4">
        <v>1</v>
      </c>
      <c r="N989" s="19">
        <v>50</v>
      </c>
      <c r="O989" s="15">
        <f>M989 * N989</f>
        <v>50</v>
      </c>
      <c r="P989" s="15">
        <f>O989*$S$3</f>
        <v>0.75</v>
      </c>
      <c r="Q989" s="15">
        <f>O989*$S$4</f>
        <v>1</v>
      </c>
    </row>
    <row r="990" spans="1:17">
      <c r="A990" s="2">
        <v>391</v>
      </c>
      <c r="B990" s="4">
        <f>DAY(G990)</f>
        <v>5</v>
      </c>
      <c r="C990" s="4">
        <f>MONTH(G990)</f>
        <v>1</v>
      </c>
      <c r="D990" s="4">
        <f>YEAR(G990)</f>
        <v>2023</v>
      </c>
      <c r="E990" s="4" t="str">
        <f>TEXT(G990,"dddd")</f>
        <v>Thursday</v>
      </c>
      <c r="F990" s="4" t="str">
        <f>TEXT(G990,"mmm")</f>
        <v>Jan</v>
      </c>
      <c r="G990" s="3">
        <v>44931</v>
      </c>
      <c r="H990" s="4" t="s">
        <v>1023</v>
      </c>
      <c r="I990" s="4" t="s">
        <v>24</v>
      </c>
      <c r="J990" s="4" t="str" cm="1">
        <f t="array" ref="J990">_xlfn.IFS(K990&lt;30,"Young Adult",K990&lt;=50,"Adult",K990&gt;50,"Senior")</f>
        <v>Young Adult</v>
      </c>
      <c r="K990" s="4">
        <v>19</v>
      </c>
      <c r="L990" s="4" t="s">
        <v>7</v>
      </c>
      <c r="M990" s="4">
        <v>2</v>
      </c>
      <c r="N990" s="19">
        <v>25</v>
      </c>
      <c r="O990" s="15">
        <f>M990 * N990</f>
        <v>50</v>
      </c>
      <c r="P990" s="15">
        <f>O990*$S$3</f>
        <v>0.75</v>
      </c>
      <c r="Q990" s="15">
        <f>O990*$S$4</f>
        <v>1</v>
      </c>
    </row>
    <row r="991" spans="1:17">
      <c r="A991" s="2">
        <v>683</v>
      </c>
      <c r="B991" s="4">
        <f>DAY(G991)</f>
        <v>4</v>
      </c>
      <c r="C991" s="4">
        <f>MONTH(G991)</f>
        <v>1</v>
      </c>
      <c r="D991" s="4">
        <f>YEAR(G991)</f>
        <v>2023</v>
      </c>
      <c r="E991" s="4" t="str">
        <f>TEXT(G991,"dddd")</f>
        <v>Wednesday</v>
      </c>
      <c r="F991" s="4" t="str">
        <f>TEXT(G991,"mmm")</f>
        <v>Jan</v>
      </c>
      <c r="G991" s="3">
        <v>44930</v>
      </c>
      <c r="H991" s="4" t="s">
        <v>1024</v>
      </c>
      <c r="I991" s="4" t="s">
        <v>24</v>
      </c>
      <c r="J991" s="4" t="str" cm="1">
        <f t="array" ref="J991">_xlfn.IFS(K991&lt;30,"Young Adult",K991&lt;=50,"Adult",K991&gt;50,"Senior")</f>
        <v>Adult</v>
      </c>
      <c r="K991" s="4">
        <v>38</v>
      </c>
      <c r="L991" s="4" t="s">
        <v>7</v>
      </c>
      <c r="M991" s="4">
        <v>2</v>
      </c>
      <c r="N991" s="19">
        <v>500</v>
      </c>
      <c r="O991" s="15">
        <f>M991 * N991</f>
        <v>1000</v>
      </c>
      <c r="P991" s="15">
        <f>O991*$S$3</f>
        <v>15</v>
      </c>
      <c r="Q991" s="15">
        <f>O991*$S$4</f>
        <v>20</v>
      </c>
    </row>
    <row r="992" spans="1:17">
      <c r="A992" s="2">
        <v>32</v>
      </c>
      <c r="B992" s="4">
        <f>DAY(G992)</f>
        <v>4</v>
      </c>
      <c r="C992" s="4">
        <f>MONTH(G992)</f>
        <v>1</v>
      </c>
      <c r="D992" s="4">
        <f>YEAR(G992)</f>
        <v>2023</v>
      </c>
      <c r="E992" s="4" t="str">
        <f>TEXT(G992,"dddd")</f>
        <v>Wednesday</v>
      </c>
      <c r="F992" s="4" t="str">
        <f>TEXT(G992,"mmm")</f>
        <v>Jan</v>
      </c>
      <c r="G992" s="3">
        <v>44930</v>
      </c>
      <c r="H992" s="4" t="s">
        <v>1025</v>
      </c>
      <c r="I992" s="4" t="s">
        <v>24</v>
      </c>
      <c r="J992" s="4" t="str" cm="1">
        <f t="array" ref="J992">_xlfn.IFS(K992&lt;30,"Young Adult",K992&lt;=50,"Adult",K992&gt;50,"Senior")</f>
        <v>Adult</v>
      </c>
      <c r="K992" s="4">
        <v>30</v>
      </c>
      <c r="L992" s="4" t="s">
        <v>7</v>
      </c>
      <c r="M992" s="4">
        <v>3</v>
      </c>
      <c r="N992" s="19">
        <v>30</v>
      </c>
      <c r="O992" s="15">
        <f>M992 * N992</f>
        <v>90</v>
      </c>
      <c r="P992" s="15">
        <f>O992*$S$3</f>
        <v>1.3499999999999999</v>
      </c>
      <c r="Q992" s="15">
        <f>O992*$S$4</f>
        <v>1.8</v>
      </c>
    </row>
    <row r="993" spans="1:17">
      <c r="A993" s="2">
        <v>231</v>
      </c>
      <c r="B993" s="4">
        <f>DAY(G993)</f>
        <v>4</v>
      </c>
      <c r="C993" s="4">
        <f>MONTH(G993)</f>
        <v>1</v>
      </c>
      <c r="D993" s="4">
        <f>YEAR(G993)</f>
        <v>2023</v>
      </c>
      <c r="E993" s="4" t="str">
        <f>TEXT(G993,"dddd")</f>
        <v>Wednesday</v>
      </c>
      <c r="F993" s="4" t="str">
        <f>TEXT(G993,"mmm")</f>
        <v>Jan</v>
      </c>
      <c r="G993" s="3">
        <v>44930</v>
      </c>
      <c r="H993" s="4" t="s">
        <v>1026</v>
      </c>
      <c r="I993" s="4" t="s">
        <v>29</v>
      </c>
      <c r="J993" s="4" t="str" cm="1">
        <f t="array" ref="J993">_xlfn.IFS(K993&lt;30,"Young Adult",K993&lt;=50,"Adult",K993&gt;50,"Senior")</f>
        <v>Young Adult</v>
      </c>
      <c r="K993" s="4">
        <v>23</v>
      </c>
      <c r="L993" s="4" t="s">
        <v>8</v>
      </c>
      <c r="M993" s="4">
        <v>3</v>
      </c>
      <c r="N993" s="19">
        <v>50</v>
      </c>
      <c r="O993" s="15">
        <f>M993 * N993</f>
        <v>150</v>
      </c>
      <c r="P993" s="15">
        <f>O993*$S$3</f>
        <v>2.25</v>
      </c>
      <c r="Q993" s="15">
        <f>O993*$S$4</f>
        <v>3</v>
      </c>
    </row>
    <row r="994" spans="1:17">
      <c r="A994" s="2">
        <v>610</v>
      </c>
      <c r="B994" s="4">
        <f>DAY(G994)</f>
        <v>3</v>
      </c>
      <c r="C994" s="4">
        <f>MONTH(G994)</f>
        <v>1</v>
      </c>
      <c r="D994" s="4">
        <f>YEAR(G994)</f>
        <v>2023</v>
      </c>
      <c r="E994" s="4" t="str">
        <f>TEXT(G994,"dddd")</f>
        <v>Tuesday</v>
      </c>
      <c r="F994" s="4" t="str">
        <f>TEXT(G994,"mmm")</f>
        <v>Jan</v>
      </c>
      <c r="G994" s="3">
        <v>44929</v>
      </c>
      <c r="H994" s="4" t="s">
        <v>1027</v>
      </c>
      <c r="I994" s="4" t="s">
        <v>29</v>
      </c>
      <c r="J994" s="4" t="str" cm="1">
        <f t="array" ref="J994">_xlfn.IFS(K994&lt;30,"Young Adult",K994&lt;=50,"Adult",K994&gt;50,"Senior")</f>
        <v>Young Adult</v>
      </c>
      <c r="K994" s="4">
        <v>26</v>
      </c>
      <c r="L994" s="4" t="s">
        <v>7</v>
      </c>
      <c r="M994" s="4">
        <v>2</v>
      </c>
      <c r="N994" s="19">
        <v>300</v>
      </c>
      <c r="O994" s="15">
        <f>M994 * N994</f>
        <v>600</v>
      </c>
      <c r="P994" s="15">
        <f>O994*$S$3</f>
        <v>9</v>
      </c>
      <c r="Q994" s="15">
        <f>O994*$S$4</f>
        <v>12</v>
      </c>
    </row>
    <row r="995" spans="1:17">
      <c r="A995" s="2">
        <v>163</v>
      </c>
      <c r="B995" s="4">
        <f>DAY(G995)</f>
        <v>2</v>
      </c>
      <c r="C995" s="4">
        <f>MONTH(G995)</f>
        <v>1</v>
      </c>
      <c r="D995" s="4">
        <f>YEAR(G995)</f>
        <v>2023</v>
      </c>
      <c r="E995" s="4" t="str">
        <f>TEXT(G995,"dddd")</f>
        <v>Monday</v>
      </c>
      <c r="F995" s="4" t="str">
        <f>TEXT(G995,"mmm")</f>
        <v>Jan</v>
      </c>
      <c r="G995" s="3">
        <v>44928</v>
      </c>
      <c r="H995" s="4" t="s">
        <v>1028</v>
      </c>
      <c r="I995" s="4" t="s">
        <v>29</v>
      </c>
      <c r="J995" s="4" t="str" cm="1">
        <f t="array" ref="J995">_xlfn.IFS(K995&lt;30,"Young Adult",K995&lt;=50,"Adult",K995&gt;50,"Senior")</f>
        <v>Senior</v>
      </c>
      <c r="K995" s="4">
        <v>64</v>
      </c>
      <c r="L995" s="4" t="s">
        <v>8</v>
      </c>
      <c r="M995" s="4">
        <v>3</v>
      </c>
      <c r="N995" s="19">
        <v>50</v>
      </c>
      <c r="O995" s="15">
        <f>M995 * N995</f>
        <v>150</v>
      </c>
      <c r="P995" s="15">
        <f>O995*$S$3</f>
        <v>2.25</v>
      </c>
      <c r="Q995" s="15">
        <f>O995*$S$4</f>
        <v>3</v>
      </c>
    </row>
    <row r="996" spans="1:17">
      <c r="A996" s="2">
        <v>421</v>
      </c>
      <c r="B996" s="4">
        <f>DAY(G996)</f>
        <v>2</v>
      </c>
      <c r="C996" s="4">
        <f>MONTH(G996)</f>
        <v>1</v>
      </c>
      <c r="D996" s="4">
        <f>YEAR(G996)</f>
        <v>2023</v>
      </c>
      <c r="E996" s="4" t="str">
        <f>TEXT(G996,"dddd")</f>
        <v>Monday</v>
      </c>
      <c r="F996" s="4" t="str">
        <f>TEXT(G996,"mmm")</f>
        <v>Jan</v>
      </c>
      <c r="G996" s="3">
        <v>44928</v>
      </c>
      <c r="H996" s="4" t="s">
        <v>1029</v>
      </c>
      <c r="I996" s="4" t="s">
        <v>29</v>
      </c>
      <c r="J996" s="4" t="str" cm="1">
        <f t="array" ref="J996">_xlfn.IFS(K996&lt;30,"Young Adult",K996&lt;=50,"Adult",K996&gt;50,"Senior")</f>
        <v>Adult</v>
      </c>
      <c r="K996" s="4">
        <v>37</v>
      </c>
      <c r="L996" s="4" t="s">
        <v>8</v>
      </c>
      <c r="M996" s="4">
        <v>3</v>
      </c>
      <c r="N996" s="19">
        <v>500</v>
      </c>
      <c r="O996" s="15">
        <f>M996 * N996</f>
        <v>1500</v>
      </c>
      <c r="P996" s="15">
        <f>O996*$S$3</f>
        <v>22.5</v>
      </c>
      <c r="Q996" s="15">
        <f>O996*$S$4</f>
        <v>30</v>
      </c>
    </row>
    <row r="997" spans="1:17">
      <c r="A997" s="2">
        <v>303</v>
      </c>
      <c r="B997" s="4">
        <f>DAY(G997)</f>
        <v>2</v>
      </c>
      <c r="C997" s="4">
        <f>MONTH(G997)</f>
        <v>1</v>
      </c>
      <c r="D997" s="4">
        <f>YEAR(G997)</f>
        <v>2023</v>
      </c>
      <c r="E997" s="4" t="str">
        <f>TEXT(G997,"dddd")</f>
        <v>Monday</v>
      </c>
      <c r="F997" s="4" t="str">
        <f>TEXT(G997,"mmm")</f>
        <v>Jan</v>
      </c>
      <c r="G997" s="3">
        <v>44928</v>
      </c>
      <c r="H997" s="4" t="s">
        <v>1030</v>
      </c>
      <c r="I997" s="4" t="s">
        <v>24</v>
      </c>
      <c r="J997" s="4" t="str" cm="1">
        <f t="array" ref="J997">_xlfn.IFS(K997&lt;30,"Young Adult",K997&lt;=50,"Adult",K997&gt;50,"Senior")</f>
        <v>Young Adult</v>
      </c>
      <c r="K997" s="4">
        <v>19</v>
      </c>
      <c r="L997" s="4" t="s">
        <v>9</v>
      </c>
      <c r="M997" s="4">
        <v>3</v>
      </c>
      <c r="N997" s="19">
        <v>30</v>
      </c>
      <c r="O997" s="15">
        <f>M997 * N997</f>
        <v>90</v>
      </c>
      <c r="P997" s="15">
        <f>O997*$S$3</f>
        <v>1.3499999999999999</v>
      </c>
      <c r="Q997" s="15">
        <f>O997*$S$4</f>
        <v>1.8</v>
      </c>
    </row>
    <row r="998" spans="1:17">
      <c r="A998" s="2">
        <v>979</v>
      </c>
      <c r="B998" s="4">
        <f>DAY(G998)</f>
        <v>2</v>
      </c>
      <c r="C998" s="4">
        <f>MONTH(G998)</f>
        <v>1</v>
      </c>
      <c r="D998" s="4">
        <f>YEAR(G998)</f>
        <v>2023</v>
      </c>
      <c r="E998" s="4" t="str">
        <f>TEXT(G998,"dddd")</f>
        <v>Monday</v>
      </c>
      <c r="F998" s="4" t="str">
        <f>TEXT(G998,"mmm")</f>
        <v>Jan</v>
      </c>
      <c r="G998" s="3">
        <v>44928</v>
      </c>
      <c r="H998" s="4" t="s">
        <v>1031</v>
      </c>
      <c r="I998" s="4" t="s">
        <v>29</v>
      </c>
      <c r="J998" s="4" t="str" cm="1">
        <f t="array" ref="J998">_xlfn.IFS(K998&lt;30,"Young Adult",K998&lt;=50,"Adult",K998&gt;50,"Senior")</f>
        <v>Young Adult</v>
      </c>
      <c r="K998" s="4">
        <v>19</v>
      </c>
      <c r="L998" s="4" t="s">
        <v>7</v>
      </c>
      <c r="M998" s="4">
        <v>1</v>
      </c>
      <c r="N998" s="19">
        <v>25</v>
      </c>
      <c r="O998" s="15">
        <f>M998 * N998</f>
        <v>25</v>
      </c>
      <c r="P998" s="15">
        <f>O998*$S$3</f>
        <v>0.375</v>
      </c>
      <c r="Q998" s="15">
        <f>O998*$S$4</f>
        <v>0.5</v>
      </c>
    </row>
    <row r="999" spans="1:17">
      <c r="A999" s="2">
        <v>522</v>
      </c>
      <c r="B999" s="4">
        <f>DAY(G999)</f>
        <v>1</v>
      </c>
      <c r="C999" s="4">
        <f>MONTH(G999)</f>
        <v>1</v>
      </c>
      <c r="D999" s="4">
        <f>YEAR(G999)</f>
        <v>2023</v>
      </c>
      <c r="E999" s="4" t="str">
        <f>TEXT(G999,"dddd")</f>
        <v>Sunday</v>
      </c>
      <c r="F999" s="4" t="str">
        <f>TEXT(G999,"mmm")</f>
        <v>Jan</v>
      </c>
      <c r="G999" s="3">
        <v>44927</v>
      </c>
      <c r="H999" s="4" t="s">
        <v>1032</v>
      </c>
      <c r="I999" s="4" t="s">
        <v>24</v>
      </c>
      <c r="J999" s="4" t="str" cm="1">
        <f t="array" ref="J999">_xlfn.IFS(K999&lt;30,"Young Adult",K999&lt;=50,"Adult",K999&gt;50,"Senior")</f>
        <v>Adult</v>
      </c>
      <c r="K999" s="4">
        <v>46</v>
      </c>
      <c r="L999" s="4" t="s">
        <v>7</v>
      </c>
      <c r="M999" s="4">
        <v>3</v>
      </c>
      <c r="N999" s="19">
        <v>500</v>
      </c>
      <c r="O999" s="15">
        <f>M999 * N999</f>
        <v>1500</v>
      </c>
      <c r="P999" s="15">
        <f>O999*$S$3</f>
        <v>22.5</v>
      </c>
      <c r="Q999" s="15">
        <f>O999*$S$4</f>
        <v>30</v>
      </c>
    </row>
    <row r="1000" spans="1:17">
      <c r="A1000" s="2">
        <v>180</v>
      </c>
      <c r="B1000" s="4">
        <f>DAY(G1000)</f>
        <v>1</v>
      </c>
      <c r="C1000" s="4">
        <f>MONTH(G1000)</f>
        <v>1</v>
      </c>
      <c r="D1000" s="4">
        <f>YEAR(G1000)</f>
        <v>2023</v>
      </c>
      <c r="E1000" s="4" t="str">
        <f>TEXT(G1000,"dddd")</f>
        <v>Sunday</v>
      </c>
      <c r="F1000" s="4" t="str">
        <f>TEXT(G1000,"mmm")</f>
        <v>Jan</v>
      </c>
      <c r="G1000" s="3">
        <v>44927</v>
      </c>
      <c r="H1000" s="4" t="s">
        <v>1033</v>
      </c>
      <c r="I1000" s="4" t="s">
        <v>24</v>
      </c>
      <c r="J1000" s="4" t="str" cm="1">
        <f t="array" ref="J1000">_xlfn.IFS(K1000&lt;30,"Young Adult",K1000&lt;=50,"Adult",K1000&gt;50,"Senior")</f>
        <v>Adult</v>
      </c>
      <c r="K1000" s="4">
        <v>41</v>
      </c>
      <c r="L1000" s="4" t="s">
        <v>8</v>
      </c>
      <c r="M1000" s="4">
        <v>3</v>
      </c>
      <c r="N1000" s="19">
        <v>300</v>
      </c>
      <c r="O1000" s="15">
        <f>M1000 * N1000</f>
        <v>900</v>
      </c>
      <c r="P1000" s="15">
        <f>O1000*$S$3</f>
        <v>13.5</v>
      </c>
      <c r="Q1000" s="15">
        <f>O1000*$S$4</f>
        <v>18</v>
      </c>
    </row>
    <row r="1001" spans="1:17">
      <c r="A1001" s="5">
        <v>559</v>
      </c>
      <c r="B1001" s="4">
        <f>DAY(G1001)</f>
        <v>1</v>
      </c>
      <c r="C1001" s="4">
        <f>MONTH(G1001)</f>
        <v>1</v>
      </c>
      <c r="D1001" s="4">
        <f>YEAR(G1001)</f>
        <v>2023</v>
      </c>
      <c r="E1001" s="4" t="str">
        <f>TEXT(G1001,"dddd")</f>
        <v>Sunday</v>
      </c>
      <c r="F1001" s="4" t="str">
        <f>TEXT(G1001,"mmm")</f>
        <v>Jan</v>
      </c>
      <c r="G1001" s="6">
        <v>44927</v>
      </c>
      <c r="H1001" s="7" t="s">
        <v>1034</v>
      </c>
      <c r="I1001" s="7" t="s">
        <v>29</v>
      </c>
      <c r="J1001" s="4" t="str" cm="1">
        <f t="array" ref="J1001">_xlfn.IFS(K1001&lt;30,"Young Adult",K1001&lt;=50,"Adult",K1001&gt;50,"Senior")</f>
        <v>Adult</v>
      </c>
      <c r="K1001" s="7">
        <v>40</v>
      </c>
      <c r="L1001" s="7" t="s">
        <v>8</v>
      </c>
      <c r="M1001" s="7">
        <v>4</v>
      </c>
      <c r="N1001" s="20">
        <v>300</v>
      </c>
      <c r="O1001" s="15">
        <f>M1001 * N1001</f>
        <v>1200</v>
      </c>
      <c r="P1001" s="15">
        <f>O1001*$S$3</f>
        <v>18</v>
      </c>
      <c r="Q1001" s="15">
        <f>O1001*$S$4</f>
        <v>24</v>
      </c>
    </row>
  </sheetData>
  <autoFilter ref="A1:Q1001" xr:uid="{00000000-0001-0000-0000-000000000000}"/>
  <conditionalFormatting sqref="S10:S13">
    <cfRule type="colorScale" priority="2">
      <colorScale>
        <cfvo type="min"/>
        <cfvo type="max"/>
        <color rgb="FFFCFCFF"/>
        <color rgb="FF63BE7B"/>
      </colorScale>
    </cfRule>
  </conditionalFormatting>
  <conditionalFormatting sqref="Q1:Q1048576">
    <cfRule type="cellIs" dxfId="4" priority="1" operator="greaterThan">
      <formula>35</formula>
    </cfRule>
  </conditionalFormatting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0"/>
  <sheetViews>
    <sheetView workbookViewId="0">
      <selection activeCell="D1" sqref="D1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10</v>
      </c>
      <c r="B1" s="1" t="s">
        <v>20</v>
      </c>
      <c r="C1" s="1" t="s">
        <v>1035</v>
      </c>
      <c r="D1" t="s">
        <v>1036</v>
      </c>
    </row>
    <row r="2" spans="1:4">
      <c r="A2">
        <v>10</v>
      </c>
      <c r="B2">
        <f>VLOOKUP(A2,retail_sales_dataset!A1:Q1001,15,FALSE)</f>
        <v>200</v>
      </c>
      <c r="C2" t="str" cm="1">
        <f t="array" ref="C2">VLOOKUP(A2,retail_sales_dataset!A1:Q1001,COLUMN(retail_sales_dataset!L:L),FALSE)</f>
        <v>Clothing</v>
      </c>
      <c r="D2" t="str">
        <f>CONCATENATE(B2," ",C2)</f>
        <v>200 Clothing</v>
      </c>
    </row>
    <row r="3" spans="1:4">
      <c r="A3">
        <v>15</v>
      </c>
      <c r="B3" cm="1">
        <f t="array" ref="B3">VLOOKUP(A3,retail_sales_dataset!A1:Q1001,COLUMN(retail_sales_dataset!O:O),FALSE)</f>
        <v>2000</v>
      </c>
      <c r="C3" t="str" cm="1">
        <f t="array" ref="C3">VLOOKUP(A3,retail_sales_dataset!A2:Q1002,COLUMN(retail_sales_dataset!L:L),FALSE)</f>
        <v>Electronics</v>
      </c>
    </row>
    <row r="4" spans="1:4">
      <c r="A4">
        <v>25</v>
      </c>
      <c r="B4" cm="1">
        <f t="array" ref="B4">VLOOKUP(A4,retail_sales_dataset!A2:Q1002,COLUMN(retail_sales_dataset!O:O),FALSE)</f>
        <v>50</v>
      </c>
      <c r="C4" t="str" cm="1">
        <f t="array" ref="C4">VLOOKUP(A4,retail_sales_dataset!A3:Q1003,COLUMN(retail_sales_dataset!L:L),FALSE)</f>
        <v>Beauty</v>
      </c>
    </row>
    <row r="5" spans="1:4">
      <c r="A5">
        <v>30</v>
      </c>
      <c r="B5" cm="1">
        <f t="array" ref="B5">VLOOKUP(A5,retail_sales_dataset!A3:Q1003,COLUMN(retail_sales_dataset!O:O),FALSE)</f>
        <v>900</v>
      </c>
      <c r="C5" t="str" cm="1">
        <f t="array" ref="C5">VLOOKUP(A5,retail_sales_dataset!A4:Q1004,COLUMN(retail_sales_dataset!L:L),FALSE)</f>
        <v>Beauty</v>
      </c>
    </row>
    <row r="6" spans="1:4">
      <c r="A6">
        <v>54</v>
      </c>
      <c r="B6" cm="1">
        <f t="array" ref="B6">VLOOKUP(A6,retail_sales_dataset!A4:Q1004,COLUMN(retail_sales_dataset!O:O),FALSE)</f>
        <v>1500</v>
      </c>
      <c r="C6" t="str" cm="1">
        <f t="array" ref="C6">VLOOKUP(A6,retail_sales_dataset!A5:Q1005,COLUMN(retail_sales_dataset!L:L),FALSE)</f>
        <v>Electronics</v>
      </c>
    </row>
    <row r="7" spans="1:4">
      <c r="A7">
        <v>55</v>
      </c>
      <c r="B7" cm="1">
        <f t="array" ref="B7">VLOOKUP(A7,retail_sales_dataset!A5:Q1005,COLUMN(retail_sales_dataset!O:O),FALSE)</f>
        <v>120</v>
      </c>
      <c r="C7" t="str" cm="1">
        <f t="array" ref="C7">VLOOKUP(A7,retail_sales_dataset!A6:Q1006,COLUMN(retail_sales_dataset!L:L),FALSE)</f>
        <v>Beauty</v>
      </c>
    </row>
    <row r="8" spans="1:4">
      <c r="A8">
        <v>67</v>
      </c>
      <c r="B8" cm="1">
        <f t="array" ref="B8">VLOOKUP(A8,retail_sales_dataset!A6:Q1006,COLUMN(retail_sales_dataset!O:O),FALSE)</f>
        <v>1200</v>
      </c>
      <c r="C8" t="str" cm="1">
        <f t="array" ref="C8">VLOOKUP(A8,retail_sales_dataset!A7:Q1007,COLUMN(retail_sales_dataset!L:L),FALSE)</f>
        <v>Beauty</v>
      </c>
    </row>
    <row r="9" spans="1:4">
      <c r="A9">
        <v>89</v>
      </c>
      <c r="B9" cm="1">
        <f t="array" ref="B9">VLOOKUP(A9,retail_sales_dataset!A7:Q1007,COLUMN(retail_sales_dataset!O:O),FALSE)</f>
        <v>2000</v>
      </c>
      <c r="C9" t="str" cm="1">
        <f t="array" ref="C9">VLOOKUP(A9,retail_sales_dataset!A8:Q1008,COLUMN(retail_sales_dataset!L:L),FALSE)</f>
        <v>Electronics</v>
      </c>
    </row>
    <row r="10" spans="1:4">
      <c r="A10">
        <v>100</v>
      </c>
      <c r="B10" cm="1">
        <f t="array" ref="B10">VLOOKUP(A10,retail_sales_dataset!A8:Q1008,COLUMN(retail_sales_dataset!O:O),FALSE)</f>
        <v>30</v>
      </c>
      <c r="C10" t="str" cm="1">
        <f t="array" ref="C10">VLOOKUP(A10,retail_sales_dataset!A9:Q1009,COLUMN(retail_sales_dataset!L:L),FALSE)</f>
        <v>Electronics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E2" sqref="E2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0" t="s">
        <v>1037</v>
      </c>
      <c r="B1" s="11" t="s">
        <v>1038</v>
      </c>
      <c r="C1" s="11" t="s">
        <v>1039</v>
      </c>
      <c r="D1" s="11" t="s">
        <v>1040</v>
      </c>
      <c r="E1" s="11" t="s">
        <v>1041</v>
      </c>
      <c r="F1" s="11" t="s">
        <v>1042</v>
      </c>
    </row>
    <row r="2" spans="1:6">
      <c r="A2" s="10" t="s">
        <v>1043</v>
      </c>
      <c r="B2" s="10">
        <v>75</v>
      </c>
      <c r="C2" s="10">
        <v>85</v>
      </c>
      <c r="D2" s="10">
        <v>85</v>
      </c>
      <c r="E2" s="10">
        <f>AVERAGE(B2:D2)</f>
        <v>81.666666666666671</v>
      </c>
      <c r="F2" s="10">
        <f>MAX(B2:D2)</f>
        <v>85</v>
      </c>
    </row>
    <row r="3" spans="1:6">
      <c r="A3" s="12" t="s">
        <v>1044</v>
      </c>
      <c r="B3" s="10">
        <v>80</v>
      </c>
      <c r="C3" s="10">
        <v>75</v>
      </c>
      <c r="D3" s="10">
        <v>90</v>
      </c>
      <c r="E3" s="10">
        <f t="shared" ref="E3:E11" si="0">AVERAGE(B3:D3)</f>
        <v>81.666666666666671</v>
      </c>
      <c r="F3" s="10">
        <f t="shared" ref="F3:F11" si="1">MAX(B3:D3)</f>
        <v>90</v>
      </c>
    </row>
    <row r="4" spans="1:6">
      <c r="A4" s="12" t="s">
        <v>1045</v>
      </c>
      <c r="B4" s="10">
        <v>85</v>
      </c>
      <c r="C4" s="10">
        <v>75</v>
      </c>
      <c r="D4" s="10">
        <v>80</v>
      </c>
      <c r="E4" s="10">
        <f t="shared" si="0"/>
        <v>80</v>
      </c>
      <c r="F4" s="10">
        <f t="shared" si="1"/>
        <v>85</v>
      </c>
    </row>
    <row r="5" spans="1:6">
      <c r="A5" s="12" t="s">
        <v>1046</v>
      </c>
      <c r="B5" s="10">
        <v>80</v>
      </c>
      <c r="C5" s="10">
        <v>70</v>
      </c>
      <c r="D5" s="10">
        <v>80</v>
      </c>
      <c r="E5" s="10">
        <f t="shared" si="0"/>
        <v>76.666666666666671</v>
      </c>
      <c r="F5" s="10">
        <f t="shared" si="1"/>
        <v>80</v>
      </c>
    </row>
    <row r="6" spans="1:6">
      <c r="A6" s="10" t="s">
        <v>1047</v>
      </c>
      <c r="B6" s="10">
        <v>80</v>
      </c>
      <c r="C6" s="10">
        <v>70</v>
      </c>
      <c r="D6" s="10">
        <v>80</v>
      </c>
      <c r="E6" s="10">
        <f t="shared" si="0"/>
        <v>76.666666666666671</v>
      </c>
      <c r="F6" s="10">
        <f t="shared" si="1"/>
        <v>80</v>
      </c>
    </row>
    <row r="7" spans="1:6">
      <c r="A7" s="12" t="s">
        <v>1048</v>
      </c>
      <c r="B7" s="10">
        <v>65</v>
      </c>
      <c r="C7" s="10">
        <v>80</v>
      </c>
      <c r="D7" s="10">
        <v>70</v>
      </c>
      <c r="E7" s="10">
        <f t="shared" si="0"/>
        <v>71.666666666666671</v>
      </c>
      <c r="F7" s="10">
        <f t="shared" si="1"/>
        <v>80</v>
      </c>
    </row>
    <row r="8" spans="1:6">
      <c r="A8" s="12" t="s">
        <v>1049</v>
      </c>
      <c r="B8" s="10">
        <v>90</v>
      </c>
      <c r="C8" s="10">
        <v>50</v>
      </c>
      <c r="D8" s="10">
        <v>70</v>
      </c>
      <c r="E8" s="10">
        <f t="shared" si="0"/>
        <v>70</v>
      </c>
      <c r="F8" s="10">
        <f t="shared" si="1"/>
        <v>90</v>
      </c>
    </row>
    <row r="9" spans="1:6">
      <c r="A9" s="10" t="s">
        <v>1050</v>
      </c>
      <c r="B9" s="10">
        <v>55</v>
      </c>
      <c r="C9" s="10">
        <v>80</v>
      </c>
      <c r="D9" s="10">
        <v>60</v>
      </c>
      <c r="E9" s="10">
        <f t="shared" si="0"/>
        <v>65</v>
      </c>
      <c r="F9" s="10">
        <f t="shared" si="1"/>
        <v>80</v>
      </c>
    </row>
    <row r="10" spans="1:6">
      <c r="A10" s="12" t="s">
        <v>1051</v>
      </c>
      <c r="B10" s="10">
        <v>55</v>
      </c>
      <c r="C10" s="10">
        <v>70</v>
      </c>
      <c r="D10" s="10">
        <v>65</v>
      </c>
      <c r="E10" s="10">
        <f t="shared" si="0"/>
        <v>63.333333333333336</v>
      </c>
      <c r="F10" s="10">
        <f t="shared" si="1"/>
        <v>70</v>
      </c>
    </row>
    <row r="11" spans="1:6">
      <c r="A11" s="10" t="s">
        <v>1052</v>
      </c>
      <c r="B11" s="10">
        <v>55</v>
      </c>
      <c r="C11" s="10">
        <v>30</v>
      </c>
      <c r="D11" s="10">
        <v>65</v>
      </c>
      <c r="E11" s="10">
        <f t="shared" si="0"/>
        <v>50</v>
      </c>
      <c r="F11" s="10">
        <f t="shared" si="1"/>
        <v>65</v>
      </c>
    </row>
    <row r="14" spans="1:6">
      <c r="A14" t="s">
        <v>1053</v>
      </c>
    </row>
    <row r="15" spans="1:6">
      <c r="A15" t="s">
        <v>1054</v>
      </c>
    </row>
    <row r="16" spans="1:6">
      <c r="A16" t="s">
        <v>1055</v>
      </c>
    </row>
    <row r="17" spans="1:1">
      <c r="A17" t="s">
        <v>1056</v>
      </c>
    </row>
    <row r="18" spans="1:1">
      <c r="A18" t="s">
        <v>1057</v>
      </c>
    </row>
    <row r="19" spans="1:1">
      <c r="A19" t="s">
        <v>1058</v>
      </c>
    </row>
    <row r="20" spans="1:1">
      <c r="A20" t="s">
        <v>1059</v>
      </c>
    </row>
  </sheetData>
  <autoFilter ref="A1:F11" xr:uid="{3029549F-D9F2-4BBA-B41C-4FB67985CEC1}"/>
  <conditionalFormatting sqref="E2:E1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3" ma:contentTypeDescription="Create a new document." ma:contentTypeScope="" ma:versionID="33b6707e0726b82edbbfdd80f4954598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5e4c21100d576d9bce5a7ded16a72801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A07CEC-807D-4764-A388-A6BBED7640E0}"/>
</file>

<file path=customXml/itemProps2.xml><?xml version="1.0" encoding="utf-8"?>
<ds:datastoreItem xmlns:ds="http://schemas.openxmlformats.org/officeDocument/2006/customXml" ds:itemID="{6A238311-EE1E-4F00-870C-F1577541CA78}"/>
</file>

<file path=customXml/itemProps3.xml><?xml version="1.0" encoding="utf-8"?>
<ds:datastoreItem xmlns:ds="http://schemas.openxmlformats.org/officeDocument/2006/customXml" ds:itemID="{8B7F014E-65B1-48DD-A1AF-A79E02398FCF}"/>
</file>

<file path=customXml/itemProps4.xml><?xml version="1.0" encoding="utf-8"?>
<ds:datastoreItem xmlns:ds="http://schemas.openxmlformats.org/officeDocument/2006/customXml" ds:itemID="{15575EC4-E142-4B68-9BA1-7D9F83EA5067}"/>
</file>

<file path=customXml/itemProps5.xml><?xml version="1.0" encoding="utf-8"?>
<ds:datastoreItem xmlns:ds="http://schemas.openxmlformats.org/officeDocument/2006/customXml" ds:itemID="{82F3FFA2-A909-498D-9BC6-33DF5B99923B}"/>
</file>

<file path=customXml/itemProps6.xml><?xml version="1.0" encoding="utf-8"?>
<ds:datastoreItem xmlns:ds="http://schemas.openxmlformats.org/officeDocument/2006/customXml" ds:itemID="{DCA8B30C-DBAC-45C5-A1A4-BC41D6221FF2}"/>
</file>

<file path=customXml/itemProps7.xml><?xml version="1.0" encoding="utf-8"?>
<ds:datastoreItem xmlns:ds="http://schemas.openxmlformats.org/officeDocument/2006/customXml" ds:itemID="{0ECF1352-6F0C-4E7B-8AFB-2EA761E69D98}"/>
</file>

<file path=customXml/itemProps8.xml><?xml version="1.0" encoding="utf-8"?>
<ds:datastoreItem xmlns:ds="http://schemas.openxmlformats.org/officeDocument/2006/customXml" ds:itemID="{A4B88D49-EA58-47E5-AA07-36D60BC9149C}"/>
</file>

<file path=customXml/itemProps9.xml><?xml version="1.0" encoding="utf-8"?>
<ds:datastoreItem xmlns:ds="http://schemas.openxmlformats.org/officeDocument/2006/customXml" ds:itemID="{3E8CB0BE-C4BA-4913-9C77-CD4B1441093A}"/>
</file>

<file path=customXml/itemProps10.xml><?xml version="1.0" encoding="utf-8"?>
<ds:datastoreItem xmlns:ds="http://schemas.openxmlformats.org/officeDocument/2006/customXml" ds:itemID="{E2D36A1E-236C-4E19-9955-D6B07E5D30B7}"/>
</file>

<file path=customXml/itemProps11.xml><?xml version="1.0" encoding="utf-8"?>
<ds:datastoreItem xmlns:ds="http://schemas.openxmlformats.org/officeDocument/2006/customXml" ds:itemID="{06D295F5-8058-4546-A127-35DC9120150C}"/>
</file>

<file path=customXml/itemProps12.xml><?xml version="1.0" encoding="utf-8"?>
<ds:datastoreItem xmlns:ds="http://schemas.openxmlformats.org/officeDocument/2006/customXml" ds:itemID="{09B95C5D-16BB-4BEF-B316-6D3A8C9DD811}"/>
</file>

<file path=customXml/itemProps13.xml><?xml version="1.0" encoding="utf-8"?>
<ds:datastoreItem xmlns:ds="http://schemas.openxmlformats.org/officeDocument/2006/customXml" ds:itemID="{B0863CD4-1E7A-4D88-A05C-62E37A52A464}"/>
</file>

<file path=customXml/itemProps14.xml><?xml version="1.0" encoding="utf-8"?>
<ds:datastoreItem xmlns:ds="http://schemas.openxmlformats.org/officeDocument/2006/customXml" ds:itemID="{DD9334D5-6C08-4A46-AD2C-FA9BF6D4670C}"/>
</file>

<file path=customXml/itemProps15.xml><?xml version="1.0" encoding="utf-8"?>
<ds:datastoreItem xmlns:ds="http://schemas.openxmlformats.org/officeDocument/2006/customXml" ds:itemID="{FE6DF61C-7ABD-44B9-B769-8F2899BB81F7}"/>
</file>

<file path=customXml/itemProps16.xml><?xml version="1.0" encoding="utf-8"?>
<ds:datastoreItem xmlns:ds="http://schemas.openxmlformats.org/officeDocument/2006/customXml" ds:itemID="{B46F128A-B7FE-46C0-9B9B-600600B1B28E}"/>
</file>

<file path=customXml/itemProps17.xml><?xml version="1.0" encoding="utf-8"?>
<ds:datastoreItem xmlns:ds="http://schemas.openxmlformats.org/officeDocument/2006/customXml" ds:itemID="{19C66761-A138-4D29-95EB-4CF018C84C81}"/>
</file>

<file path=customXml/itemProps18.xml><?xml version="1.0" encoding="utf-8"?>
<ds:datastoreItem xmlns:ds="http://schemas.openxmlformats.org/officeDocument/2006/customXml" ds:itemID="{E643224C-1CC4-4A7F-A567-22ECFBDF619E}"/>
</file>

<file path=customXml/itemProps19.xml><?xml version="1.0" encoding="utf-8"?>
<ds:datastoreItem xmlns:ds="http://schemas.openxmlformats.org/officeDocument/2006/customXml" ds:itemID="{A85E162B-7A50-4957-AE78-A5F153441C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2025-11-18T13:58:05Z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